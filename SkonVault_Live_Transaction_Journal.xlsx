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ctive_Spread_Income_Tracker" sheetId="1" r:id="rId1"/>
    <sheet name="Internal_PnL_Journal" sheetId="2" r:id="rId2"/>
    <sheet name="Wise_Capital_Deposits" sheetId="3" r:id="rId3"/>
    <sheet name="External_PnL_Revenue_Report" sheetId="4" r:id="rId4"/>
  </sheets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0.0%"/>
    <numFmt numFmtId="166" formatCode="&quot;฿&quot;#,##0.00"/>
    <numFmt numFmtId="167" formatCode="#,##0"/>
  </numFmts>
  <fonts count="7">
    <font>
      <sz val="10"/>
      <name val="Calibri"/>
    </font>
    <font>
      <b val="1"/>
      <sz val="14"/>
      <color rgb="FF1B365D"/>
      <name val="Calibri"/>
    </font>
    <font>
      <i val="1"/>
      <sz val="9"/>
      <color rgb="FF595959"/>
      <name val="Calibri"/>
    </font>
    <font>
      <b val="1"/>
      <sz val="10"/>
      <color rgb="FFFFFFFF"/>
      <name val="Calibri"/>
    </font>
    <font>
      <b val="1"/>
      <sz val="11"/>
      <color rgb="FF1B365D"/>
      <name val="Calibri"/>
    </font>
    <font>
      <b val="1"/>
      <sz val="10"/>
      <color rgb="FF006100"/>
      <name val="Calibri"/>
    </font>
    <font>
      <b val="1"/>
      <sz val="10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B365D"/>
      </patternFill>
    </fill>
    <fill>
      <patternFill patternType="solid">
        <fgColor rgb="FFB8860B"/>
      </patternFill>
    </fill>
    <fill>
      <patternFill patternType="solid">
        <fgColor rgb="FFE6EEF8"/>
      </patternFill>
    </fill>
    <fill>
      <patternFill patternType="solid">
        <fgColor rgb="FFE2F0D9"/>
      </patternFill>
    </fill>
    <fill>
      <patternFill patternType="solid">
        <fgColor rgb="FFF2F2F2"/>
      </patternFill>
    </fill>
  </fills>
  <borders count="2"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14">
    <xf numFmtId="0" fontId="0" fillId="0" borderId="1" xfId="0" applyBorder="1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/>
    <xf numFmtId="164" fontId="0" fillId="0" borderId="1" xfId="0" applyNumberFormat="1" applyBorder="1">
      <alignment horizontal="right"/>
    </xf>
    <xf numFmtId="164" fontId="5" fillId="5" borderId="1" xfId="0" applyNumberFormat="1" applyFont="1" applyFill="1" applyBorder="1">
      <alignment horizontal="right"/>
    </xf>
    <xf numFmtId="165" fontId="0" fillId="0" borderId="1" xfId="0" applyNumberFormat="1" applyBorder="1">
      <alignment horizontal="right"/>
    </xf>
    <xf numFmtId="166" fontId="0" fillId="0" borderId="1" xfId="0" applyNumberFormat="1" applyBorder="1">
      <alignment horizontal="right"/>
    </xf>
    <xf numFmtId="0" fontId="6" fillId="0" borderId="1" xfId="0" applyFont="1" applyBorder="1"/>
    <xf numFmtId="164" fontId="4" fillId="4" borderId="1" xfId="0" applyNumberFormat="1" applyFont="1" applyFill="1" applyBorder="1">
      <alignment horizontal="right"/>
    </xf>
    <xf numFmtId="166" fontId="4" fillId="4" borderId="1" xfId="0" applyNumberFormat="1" applyFont="1" applyFill="1" applyBorder="1">
      <alignment horizontal="right"/>
    </xf>
    <xf numFmtId="167" fontId="4" fillId="4" borderId="1" xfId="0" applyNumberFormat="1" applyFont="1" applyFill="1" applyBorder="1">
      <alignment horizontal="center"/>
    </xf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worksheet" Target="worksheets/sheet2.xml"/>
    <Relationship Id="rId3" Type="http://schemas.openxmlformats.org/officeDocument/2006/relationships/worksheet" Target="worksheets/sheet3.xml"/>
    <Relationship Id="rId4" Type="http://schemas.openxmlformats.org/officeDocument/2006/relationships/worksheet" Target="worksheets/sheet4.xml"/>
    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30"/>
    <col min="2" max="2" width="10"/>
    <col min="3" max="3" width="28"/>
    <col min="4" max="4" width="24"/>
    <col min="5" max="5" width="12"/>
    <col min="6" max="6" width="14"/>
    <col min="7" max="7" width="28"/>
    <col min="8" max="8" width="20"/>
    <col min="9" max="9" width="18"/>
    <col min="10" max="10" width="22"/>
    <col min="11" max="11" width="20"/>
    <col min="12" max="12" width="20"/>
    <col min="13" max="13" width="24"/>
    <col min="14" max="14" width="16"/>
    <col min="15" max="15" width="36"/>
  </cols>
  <sheetData>
    <row r="1">
      <c r="A1" t="inlineStr" s="1">
        <is>
          <t>SKONVAULT ACTIVE SPREAD PROFIT &amp; REAL INCOME TRACKER (RULE-060)</t>
        </is>
      </c>
    </row>
    <row r="2">
      <c r="A2" t="inlineStr" s="2">
        <is>
          <t>Executive Live Telemetry: 72h Weekend Theta Compounding &amp; Rollover Radar — As of 2026-10-03 06:43 ICT</t>
        </is>
      </c>
    </row>
    <row r="4">
      <c r="A4" t="inlineStr" s="3">
        <is>
          <t>Bank Cash Balance</t>
        </is>
      </c>
      <c r="C4" t="inlineStr" s="3">
        <is>
          <t>35% Safe Cash Floor</t>
        </is>
      </c>
      <c r="E4" t="inlineStr" s="3">
        <is>
          <t>Active Premium Injected</t>
        </is>
      </c>
      <c r="G4" t="inlineStr" s="3">
        <is>
          <t>FastHarvest 50% TP</t>
        </is>
      </c>
      <c r="I4" t="inlineStr" s="3">
        <is>
          <t>Defined Risk Cap</t>
        </is>
      </c>
      <c r="K4" t="inlineStr" s="3">
        <is>
          <t>Cash Reserve Health</t>
        </is>
      </c>
    </row>
    <row r="5">
      <c r="A5" s="6">
        <v>33271.32</v>
      </c>
      <c r="C5" s="6">
        <v>11427.61</v>
      </c>
      <c r="E5" s="7">
        <f>J10</f>
        <v>559.0</v>
      </c>
      <c r="G5" s="7">
        <f>K10</f>
        <v>279.5</v>
      </c>
      <c r="I5" s="6">
        <f>L10</f>
        <v>3500.0</v>
      </c>
      <c r="K5" t="inlineStr" s="10">
        <is>
          <t>101.9% CASH RESERVE (≥35% FLOOR) 🟢</t>
        </is>
      </c>
    </row>
    <row r="7">
      <c r="A7" t="inlineStr" s="3">
        <is>
          <t>Theme &amp; Sector</t>
        </is>
      </c>
      <c r="B7" t="inlineStr" s="3">
        <is>
          <t>Asset</t>
        </is>
      </c>
      <c r="C7" t="inlineStr" s="3">
        <is>
          <t>Account</t>
        </is>
      </c>
      <c r="D7" t="inlineStr" s="3">
        <is>
          <t>Defined Spread Strikes</t>
        </is>
      </c>
      <c r="E7" t="inlineStr" s="3">
        <is>
          <t>Contracts</t>
        </is>
      </c>
      <c r="F7" t="inlineStr" s="3">
        <is>
          <t>Live Spot</t>
        </is>
      </c>
      <c r="G7" t="inlineStr" s="3">
        <is>
          <t>Safety Buffer % (OTM)</t>
        </is>
      </c>
      <c r="H7" t="inlineStr" s="3">
        <is>
          <t>Gross Short Credit ($)</t>
        </is>
      </c>
      <c r="I7" t="inlineStr" s="3">
        <is>
          <t>Long Hedge Cost ($)</t>
        </is>
      </c>
      <c r="J7" t="inlineStr" s="3">
        <is>
          <t>Net Bank Cash Injected ($)</t>
        </is>
      </c>
      <c r="K7" t="inlineStr" s="3">
        <is>
          <t>FastHarvest 50% TP ($)</t>
        </is>
      </c>
      <c r="L7" t="inlineStr" s="3">
        <is>
          <t>Defined Risk Cap ($)</t>
        </is>
      </c>
      <c r="M7" t="inlineStr" s="3">
        <is>
          <t>Worst-Case Rollover Deadline</t>
        </is>
      </c>
      <c r="N7" t="inlineStr" s="3">
        <is>
          <t>Final Expiration</t>
        </is>
      </c>
      <c r="O7" t="inlineStr" s="3">
        <is>
          <t>Strategy Status</t>
        </is>
      </c>
    </row>
    <row r="8">
      <c r="A8" t="inlineStr" s="0">
        <is>
          <t>1. AI Chips &amp; Hardware</t>
        </is>
      </c>
      <c r="B8" t="inlineStr" s="10">
        <is>
          <t>TSM</t>
        </is>
      </c>
      <c r="C8" t="inlineStr" s="0">
        <is>
          <t>Alpaca Live (#290523608)</t>
        </is>
      </c>
      <c r="D8" t="inlineStr" s="10">
        <is>
          <t>$445.00P / $435.00P</t>
        </is>
      </c>
      <c r="E8" s="0">
        <v>3</v>
      </c>
      <c r="F8" s="6">
        <v>472.78</v>
      </c>
      <c r="G8" t="inlineStr" s="7">
        <is>
          <t>+$27.78 (+5.9%) OTM Buffer 🟢</t>
        </is>
      </c>
      <c r="H8" s="6">
        <v>1170.0</v>
      </c>
      <c r="I8" s="6">
        <v>711.0</v>
      </c>
      <c r="J8" s="7">
        <f>H8-I8</f>
        <v>459.0</v>
      </c>
      <c r="K8" s="7">
        <f>J8*0.5</f>
        <v>229.5</v>
      </c>
      <c r="L8" s="6">
        <v>3000.0</v>
      </c>
      <c r="M8" t="inlineStr" s="0">
        <is>
          <t>Oct 13, 2026 (T-3 DTE)</t>
        </is>
      </c>
      <c r="N8" t="inlineStr" s="0">
        <is>
          <t>Oct 16, 2026</t>
        </is>
      </c>
      <c r="O8" t="inlineStr" s="7">
        <is>
          <t>100% SAFE (Theta Burning on Schedule) 🟢</t>
        </is>
      </c>
    </row>
    <row r="9">
      <c r="A9" t="inlineStr" s="0">
        <is>
          <t>1. AI Chips &amp; Hardware</t>
        </is>
      </c>
      <c r="B9" t="inlineStr" s="10">
        <is>
          <t>AMD</t>
        </is>
      </c>
      <c r="C9" t="inlineStr" s="0">
        <is>
          <t>Tradier Live (#6YB80974)</t>
        </is>
      </c>
      <c r="D9" t="inlineStr" s="10">
        <is>
          <t>$605.00P / $600.00P</t>
        </is>
      </c>
      <c r="E9" s="0">
        <v>1</v>
      </c>
      <c r="F9" s="6">
        <v>633.91</v>
      </c>
      <c r="G9" t="inlineStr" s="7">
        <is>
          <t>+$28.91 (+4.6%) OTM Buffer 🟢</t>
        </is>
      </c>
      <c r="H9" s="6">
        <v>513.0</v>
      </c>
      <c r="I9" s="6">
        <v>413.0</v>
      </c>
      <c r="J9" s="7">
        <f>H9-I9</f>
        <v>100.0</v>
      </c>
      <c r="K9" s="7">
        <f>J9*0.5</f>
        <v>50.0</v>
      </c>
      <c r="L9" s="6">
        <v>500.0</v>
      </c>
      <c r="M9" t="inlineStr" s="0">
        <is>
          <t>Oct 06, 2026 (T-3 DTE)</t>
        </is>
      </c>
      <c r="N9" t="inlineStr" s="0">
        <is>
          <t>Oct 09, 2026</t>
        </is>
      </c>
      <c r="O9" t="inlineStr" s="7">
        <is>
          <t>100% SAFE (Theta Burning on Schedule) 🟢</t>
        </is>
      </c>
    </row>
    <row r="10">
      <c r="A10" t="inlineStr" s="5">
        <is>
          <t>PORTFOLIO TOTALS</t>
        </is>
      </c>
      <c r="B10" s="5"/>
      <c r="C10" s="5"/>
      <c r="D10" s="5"/>
      <c r="E10" s="13">
        <f>SUM(E8:E9)</f>
        <v>4</v>
      </c>
      <c r="F10" s="5"/>
      <c r="G10" s="5"/>
      <c r="H10" s="11">
        <f>SUM(H8:H9)</f>
        <v>1683.0</v>
      </c>
      <c r="I10" s="11">
        <f>SUM(I8:I9)</f>
        <v>1124.0</v>
      </c>
      <c r="J10" s="11">
        <f>SUM(J8:J9)</f>
        <v>559.0</v>
      </c>
      <c r="K10" s="11">
        <f>SUM(K8:K9)</f>
        <v>279.5</v>
      </c>
      <c r="L10" s="11">
        <f>SUM(L8:L9)</f>
        <v>3500.0</v>
      </c>
      <c r="M10" s="5"/>
      <c r="N10" s="5"/>
      <c r="O10" t="inlineStr" s="5">
        <is>
          <t>100% DEFINED RISK PROTECTED ✅</t>
        </is>
      </c>
    </row>
  </sheetData>
</worksheet>
</file>

<file path=xl/worksheets/sheet2.xml><?xml version="1.0" encoding="utf-8"?>
<worksheet xmlns="http://schemas.openxmlformats.org/spreadsheetml/2006/main">
  <cols>
    <col min="1" max="1" width="22"/>
    <col min="2" max="2" width="28"/>
    <col min="3" max="3" width="10"/>
    <col min="4" max="4" width="30"/>
    <col min="5" max="5" width="28"/>
    <col min="6" max="7" width="14"/>
    <col min="8" max="8" width="24"/>
    <col min="9" max="9" width="14"/>
    <col min="10" max="10" width="24"/>
    <col min="11" max="12" width="14"/>
    <col min="13" max="16" width="14"/>
    <col min="17" max="18" width="14"/>
    <col min="19" max="22" width="14"/>
    <col min="23" max="23" width="12"/>
    <col min="24" max="24" width="30"/>
    <col min="25" max="25" width="20"/>
    <col min="26" max="26" width="36"/>
  </cols>
  <sheetData>
    <row r="1">
      <c r="A1" t="inlineStr" s="1">
        <is>
          <t>SKONVAULT QUANTITATIVE TRADING JOURNAL — INTERNAL AUDIT &amp; PnL LEDGER</t>
        </is>
      </c>
    </row>
    <row r="2">
      <c r="A2" t="inlineStr" s="2">
        <is>
          <t>Historical Execution Log — Reconciled with Live Broker REST APIs (Alpaca &amp; Tradier)</t>
        </is>
      </c>
    </row>
    <row r="4">
      <c r="A4" t="inlineStr" s="3">
        <is>
          <t>Trade ID</t>
        </is>
      </c>
      <c r="B4" t="inlineStr" s="3">
        <is>
          <t>Account</t>
        </is>
      </c>
      <c r="C4" t="inlineStr" s="3">
        <is>
          <t>Asset</t>
        </is>
      </c>
      <c r="D4" t="inlineStr" s="3">
        <is>
          <t>Theme</t>
        </is>
      </c>
      <c r="E4" t="inlineStr" s="3">
        <is>
          <t>Strategy</t>
        </is>
      </c>
      <c r="F4" t="inlineStr" s="3">
        <is>
          <t>Open Date</t>
        </is>
      </c>
      <c r="G4" t="inlineStr" s="3">
        <is>
          <t>Open Time</t>
        </is>
      </c>
      <c r="H4" t="inlineStr" s="3">
        <is>
          <t>Short Leg</t>
        </is>
      </c>
      <c r="I4" t="inlineStr" s="3">
        <is>
          <t>Short Strike</t>
        </is>
      </c>
      <c r="J4" t="inlineStr" s="3">
        <is>
          <t>Long Leg</t>
        </is>
      </c>
      <c r="K4" t="inlineStr" s="3">
        <is>
          <t>Long Strike</t>
        </is>
      </c>
      <c r="L4" t="inlineStr" s="3">
        <is>
          <t>Exp Date</t>
        </is>
      </c>
      <c r="M4" t="inlineStr" s="3">
        <is>
          <t>Contracts</t>
        </is>
      </c>
      <c r="N4" t="inlineStr" s="3">
        <is>
          <t>Credit/Sh ($)</t>
        </is>
      </c>
      <c r="O4" t="inlineStr" s="3">
        <is>
          <t>Gross Credit ($)</t>
        </is>
      </c>
      <c r="P4" t="inlineStr" s="3">
        <is>
          <t>Max Risk ($)</t>
        </is>
      </c>
      <c r="Q4" t="inlineStr" s="3">
        <is>
          <t>Close Date</t>
        </is>
      </c>
      <c r="R4" t="inlineStr" s="3">
        <is>
          <t>Close Time</t>
        </is>
      </c>
      <c r="S4" t="inlineStr" s="3">
        <is>
          <t>Debit/Sh ($)</t>
        </is>
      </c>
      <c r="T4" t="inlineStr" s="3">
        <is>
          <t>Close Debit ($)</t>
        </is>
      </c>
      <c r="U4" t="inlineStr" s="3">
        <is>
          <t>Realized PnL ($)</t>
        </is>
      </c>
      <c r="V4" t="inlineStr" s="3">
        <is>
          <t>ROC %</t>
        </is>
      </c>
      <c r="W4" t="inlineStr" s="3">
        <is>
          <t>Hold Hours</t>
        </is>
      </c>
      <c r="X4" t="inlineStr" s="3">
        <is>
          <t>Exit Reason</t>
        </is>
      </c>
      <c r="Y4" t="inlineStr" s="3">
        <is>
          <t>Status</t>
        </is>
      </c>
      <c r="Z4" t="inlineStr" s="3">
        <is>
          <t>Broker Order ID</t>
        </is>
      </c>
    </row>
    <row r="5">
      <c r="A5" t="inlineStr" s="0">
        <is>
          <t>TRD-20260908-XLF-54/52</t>
        </is>
      </c>
      <c r="B5" t="inlineStr" s="0">
        <is>
          <t>Alpaca Live (#290523608)</t>
        </is>
      </c>
      <c r="C5" t="inlineStr" s="10">
        <is>
          <t>XLF</t>
        </is>
      </c>
      <c r="D5" t="inlineStr" s="0">
        <is>
          <t>6. Financial Services &amp; Payment Rails</t>
        </is>
      </c>
      <c r="E5" t="inlineStr" s="0">
        <is>
          <t>Bull Put Spread (54P/52P)</t>
        </is>
      </c>
      <c r="F5" t="inlineStr" s="0">
        <is>
          <t>2026-09-08</t>
        </is>
      </c>
      <c r="G5" t="inlineStr" s="0">
        <is>
          <t>15:09:30</t>
        </is>
      </c>
      <c r="H5" t="inlineStr" s="0">
        <is>
          <t>XLF261016P00054000</t>
        </is>
      </c>
      <c r="I5" s="6">
        <v>54.0</v>
      </c>
      <c r="J5" t="inlineStr" s="0">
        <is>
          <t>XLF261016P00052000</t>
        </is>
      </c>
      <c r="K5" s="6">
        <v>52.0</v>
      </c>
      <c r="L5" t="inlineStr" s="0">
        <is>
          <t>2026-10-16</t>
        </is>
      </c>
      <c r="M5" s="0">
        <v>1</v>
      </c>
      <c r="N5" s="6">
        <v>0.11</v>
      </c>
      <c r="O5" s="6">
        <v>11.0</v>
      </c>
      <c r="P5" s="6">
        <v>200.0</v>
      </c>
      <c r="Q5" t="inlineStr" s="0">
        <is>
          <t>2026-09-25</t>
        </is>
      </c>
      <c r="R5" t="inlineStr" s="0">
        <is>
          <t>13:36:45</t>
        </is>
      </c>
      <c r="S5" s="6">
        <v>0.44</v>
      </c>
      <c r="T5" s="6">
        <v>44.0</v>
      </c>
      <c r="U5" s="6">
        <f>O5-T5</f>
        <v>-33.0</v>
      </c>
      <c r="V5" s="8">
        <f>IF(P5&gt;0,U5/P5,0)</f>
        <v>-0.165</v>
      </c>
      <c r="W5" s="0">
        <v>406.5</v>
      </c>
      <c r="X5" t="inlineStr" s="0">
        <is>
          <t>Defensive stop-out / loss close (verified fill)</t>
        </is>
      </c>
      <c r="Y5" t="inlineStr" s="10">
        <is>
          <t>CLOSED_DEFENSIVE</t>
        </is>
      </c>
      <c r="Z5" t="inlineStr" s="0">
        <is>
          <t>ac0766e8-0d3b-4d3b-9826-b71e2ac092d0</t>
        </is>
      </c>
    </row>
    <row r="6">
      <c r="A6" t="inlineStr" s="0">
        <is>
          <t>TRD-20260908-XLF-54/53</t>
        </is>
      </c>
      <c r="B6" t="inlineStr" s="0">
        <is>
          <t>Tradier Live (#6YB80974)</t>
        </is>
      </c>
      <c r="C6" t="inlineStr" s="10">
        <is>
          <t>XLF</t>
        </is>
      </c>
      <c r="D6" t="inlineStr" s="0">
        <is>
          <t>6. Financial Services &amp; Payment Rails</t>
        </is>
      </c>
      <c r="E6" t="inlineStr" s="0">
        <is>
          <t>Bull Put Spread (54P/53P)</t>
        </is>
      </c>
      <c r="F6" t="inlineStr" s="0">
        <is>
          <t>2026-09-08</t>
        </is>
      </c>
      <c r="G6" t="inlineStr" s="0">
        <is>
          <t>00:00:00</t>
        </is>
      </c>
      <c r="H6" t="inlineStr" s="0">
        <is>
          <t>XLF261016P00054000</t>
        </is>
      </c>
      <c r="I6" s="6">
        <v>54.0</v>
      </c>
      <c r="J6" t="inlineStr" s="0">
        <is>
          <t>XLF261016P00053000</t>
        </is>
      </c>
      <c r="K6" s="6">
        <v>53.0</v>
      </c>
      <c r="L6" t="inlineStr" s="0">
        <is>
          <t>2026-10-16</t>
        </is>
      </c>
      <c r="M6" s="0">
        <v>1</v>
      </c>
      <c r="N6" s="6">
        <v>0.08</v>
      </c>
      <c r="O6" s="6">
        <v>8.0</v>
      </c>
      <c r="P6" s="6">
        <v>100.0</v>
      </c>
      <c r="Q6" t="inlineStr" s="0">
        <is>
          <t>2026-09-28</t>
        </is>
      </c>
      <c r="R6" t="inlineStr" s="0">
        <is>
          <t>00:00:00</t>
        </is>
      </c>
      <c r="S6" s="6">
        <v>0.35</v>
      </c>
      <c r="T6" s="6">
        <v>35.0</v>
      </c>
      <c r="U6" s="6">
        <f>O6-T6</f>
        <v>-27.0</v>
      </c>
      <c r="V6" s="8">
        <f>IF(P6&gt;0,U6/P6,0)</f>
        <v>-0.27</v>
      </c>
      <c r="W6" s="0">
        <v>480.0</v>
      </c>
      <c r="X6" t="inlineStr" s="0">
        <is>
          <t>Defensive stop-out / loss close (verified fill)</t>
        </is>
      </c>
      <c r="Y6" t="inlineStr" s="10">
        <is>
          <t>CLOSED_DEFENSIVE</t>
        </is>
      </c>
      <c r="Z6" t="inlineStr" s="0">
        <is>
          <t>tradier_2026-09-08</t>
        </is>
      </c>
    </row>
    <row r="7">
      <c r="A7" t="inlineStr" s="0">
        <is>
          <t>TRD-20260921-XLE-60/58</t>
        </is>
      </c>
      <c r="B7" t="inlineStr" s="0">
        <is>
          <t>Alpaca Live (#290523608)</t>
        </is>
      </c>
      <c r="C7" t="inlineStr" s="10">
        <is>
          <t>XLE</t>
        </is>
      </c>
      <c r="D7" t="inlineStr" s="0">
        <is>
          <t>3. Inflation Defense &amp; Hard Assets</t>
        </is>
      </c>
      <c r="E7" t="inlineStr" s="0">
        <is>
          <t>Bull Put Spread (60P/58P)</t>
        </is>
      </c>
      <c r="F7" t="inlineStr" s="0">
        <is>
          <t>2026-09-21</t>
        </is>
      </c>
      <c r="G7" t="inlineStr" s="0">
        <is>
          <t>19:21:19</t>
        </is>
      </c>
      <c r="H7" t="inlineStr" s="0">
        <is>
          <t>XLE261016P00060000</t>
        </is>
      </c>
      <c r="I7" s="6">
        <v>60.0</v>
      </c>
      <c r="J7" t="inlineStr" s="0">
        <is>
          <t>XLE261016P00058000</t>
        </is>
      </c>
      <c r="K7" s="6">
        <v>58.0</v>
      </c>
      <c r="L7" t="inlineStr" s="0">
        <is>
          <t>2026-10-16</t>
        </is>
      </c>
      <c r="M7" s="0">
        <v>1</v>
      </c>
      <c r="N7" s="6">
        <v>0.36</v>
      </c>
      <c r="O7" s="6">
        <v>36.0</v>
      </c>
      <c r="P7" s="6">
        <v>200.0</v>
      </c>
      <c r="Q7" t="inlineStr" s="0">
        <is>
          <t>2026-10-02</t>
        </is>
      </c>
      <c r="R7" t="inlineStr" s="0">
        <is>
          <t>14:10:15</t>
        </is>
      </c>
      <c r="S7" s="6">
        <v>0.32</v>
      </c>
      <c r="T7" s="6">
        <v>32.0</v>
      </c>
      <c r="U7" s="7">
        <f>O7-T7</f>
        <v>4.0</v>
      </c>
      <c r="V7" s="8">
        <f>IF(P7&gt;0,U7/P7,0)</f>
        <v>0.02</v>
      </c>
      <c r="W7" s="0">
        <v>258.8</v>
      </c>
      <c r="X7" t="inlineStr" s="0">
        <is>
          <t>Take-profit close (verified fill)</t>
        </is>
      </c>
      <c r="Y7" t="inlineStr" s="10">
        <is>
          <t>CLOSED_HARVESTED</t>
        </is>
      </c>
      <c r="Z7" t="inlineStr" s="0">
        <is>
          <t>cfbf1164-cbbb-4bd0-bc9c-27af3ce36483</t>
        </is>
      </c>
    </row>
    <row r="8">
      <c r="A8" t="inlineStr" s="0">
        <is>
          <t>TRD-20260928-NVDA-220/215</t>
        </is>
      </c>
      <c r="B8" t="inlineStr" s="0">
        <is>
          <t>Alpaca Live (#290523608)</t>
        </is>
      </c>
      <c r="C8" t="inlineStr" s="10">
        <is>
          <t>NVDA</t>
        </is>
      </c>
      <c r="D8" t="inlineStr" s="0">
        <is>
          <t>1. AI Chips &amp; Hardware</t>
        </is>
      </c>
      <c r="E8" t="inlineStr" s="0">
        <is>
          <t>Bull Put Spread (220P/215P)</t>
        </is>
      </c>
      <c r="F8" t="inlineStr" s="0">
        <is>
          <t>2026-09-28</t>
        </is>
      </c>
      <c r="G8" t="inlineStr" s="0">
        <is>
          <t>14:16:24</t>
        </is>
      </c>
      <c r="H8" t="inlineStr" s="0">
        <is>
          <t>NVDA261012P00220000</t>
        </is>
      </c>
      <c r="I8" s="6">
        <v>220.0</v>
      </c>
      <c r="J8" t="inlineStr" s="0">
        <is>
          <t>NVDA261012P00215000</t>
        </is>
      </c>
      <c r="K8" s="6">
        <v>215.0</v>
      </c>
      <c r="L8" t="inlineStr" s="0">
        <is>
          <t>2026-10-12</t>
        </is>
      </c>
      <c r="M8" s="0">
        <v>6</v>
      </c>
      <c r="N8" s="6">
        <v>0.71</v>
      </c>
      <c r="O8" s="6">
        <v>426.0</v>
      </c>
      <c r="P8" s="6">
        <v>3000.0</v>
      </c>
      <c r="Q8" t="inlineStr" s="0">
        <is>
          <t>2026-10-01</t>
        </is>
      </c>
      <c r="R8" t="inlineStr" s="0">
        <is>
          <t>19:55:15</t>
        </is>
      </c>
      <c r="S8" s="6">
        <v>0.67</v>
      </c>
      <c r="T8" s="6">
        <v>402.0</v>
      </c>
      <c r="U8" s="7">
        <f>O8-T8</f>
        <v>24.0</v>
      </c>
      <c r="V8" s="8">
        <f>IF(P8&gt;0,U8/P8,0)</f>
        <v>0.008</v>
      </c>
      <c r="W8" s="0">
        <v>77.6</v>
      </c>
      <c r="X8" t="inlineStr" s="0">
        <is>
          <t>Take-profit close (verified fill)</t>
        </is>
      </c>
      <c r="Y8" t="inlineStr" s="10">
        <is>
          <t>CLOSED_HARVESTED</t>
        </is>
      </c>
      <c r="Z8" t="inlineStr" s="0">
        <is>
          <t>b62cee06-2bd9-43c4-a8ce-53385fad4b19</t>
        </is>
      </c>
    </row>
    <row r="9">
      <c r="A9" t="inlineStr" s="0">
        <is>
          <t>TRD-20260928-TSM-425/420</t>
        </is>
      </c>
      <c r="B9" t="inlineStr" s="0">
        <is>
          <t>Tradier Live (#6YB80974)</t>
        </is>
      </c>
      <c r="C9" t="inlineStr" s="10">
        <is>
          <t>TSM</t>
        </is>
      </c>
      <c r="D9" t="inlineStr" s="0">
        <is>
          <t>1. AI Chips &amp; Hardware</t>
        </is>
      </c>
      <c r="E9" t="inlineStr" s="0">
        <is>
          <t>Bull Put Spread (425P/420P)</t>
        </is>
      </c>
      <c r="F9" t="inlineStr" s="0">
        <is>
          <t>2026-09-28</t>
        </is>
      </c>
      <c r="G9" t="inlineStr" s="0">
        <is>
          <t>00:00:00</t>
        </is>
      </c>
      <c r="H9" t="inlineStr" s="0">
        <is>
          <t>TSM261030P00425000</t>
        </is>
      </c>
      <c r="I9" s="6">
        <v>425.0</v>
      </c>
      <c r="J9" t="inlineStr" s="0">
        <is>
          <t>TSM261030P00420000</t>
        </is>
      </c>
      <c r="K9" s="6">
        <v>420.0</v>
      </c>
      <c r="L9" t="inlineStr" s="0">
        <is>
          <t>2026-10-30</t>
        </is>
      </c>
      <c r="M9" s="0">
        <v>1</v>
      </c>
      <c r="N9" s="6">
        <v>1.5</v>
      </c>
      <c r="O9" s="6">
        <v>150.0</v>
      </c>
      <c r="P9" s="6">
        <v>500.0</v>
      </c>
      <c r="Q9" t="inlineStr" s="0">
        <is>
          <t>2026-10-02</t>
        </is>
      </c>
      <c r="R9" t="inlineStr" s="0">
        <is>
          <t>13:35:15</t>
        </is>
      </c>
      <c r="S9" s="6">
        <v>0.69</v>
      </c>
      <c r="T9" s="6">
        <v>69.0</v>
      </c>
      <c r="U9" s="7">
        <f>O9-T9</f>
        <v>81.0</v>
      </c>
      <c r="V9" s="8">
        <f>IF(P9&gt;0,U9/P9,0)</f>
        <v>0.162</v>
      </c>
      <c r="W9" s="0">
        <v>109.6</v>
      </c>
      <c r="X9" t="inlineStr" s="0">
        <is>
          <t>Take-profit close (verified fill)</t>
        </is>
      </c>
      <c r="Y9" t="inlineStr" s="10">
        <is>
          <t>CLOSED_HARVESTED</t>
        </is>
      </c>
      <c r="Z9" t="inlineStr" s="0">
        <is>
          <t>tradier_2026-09-28</t>
        </is>
      </c>
    </row>
    <row r="10">
      <c r="A10" t="inlineStr" s="0">
        <is>
          <t>TRD-20260929-META-685/680</t>
        </is>
      </c>
      <c r="B10" t="inlineStr" s="0">
        <is>
          <t>Tradier Live (#6YB80974)</t>
        </is>
      </c>
      <c r="C10" t="inlineStr" s="10">
        <is>
          <t>META</t>
        </is>
      </c>
      <c r="D10" t="inlineStr" s="0">
        <is>
          <t>8. Mega-Cap Cloud &amp; Software Platform</t>
        </is>
      </c>
      <c r="E10" t="inlineStr" s="0">
        <is>
          <t>Bull Put Spread (685P/680P)</t>
        </is>
      </c>
      <c r="F10" t="inlineStr" s="0">
        <is>
          <t>2026-09-29</t>
        </is>
      </c>
      <c r="G10" t="inlineStr" s="0">
        <is>
          <t>00:00:00</t>
        </is>
      </c>
      <c r="H10" t="inlineStr" s="0">
        <is>
          <t>META261009P00685000</t>
        </is>
      </c>
      <c r="I10" s="6">
        <v>685.0</v>
      </c>
      <c r="J10" t="inlineStr" s="0">
        <is>
          <t>META261009P00680000</t>
        </is>
      </c>
      <c r="K10" s="6">
        <v>680.0</v>
      </c>
      <c r="L10" t="inlineStr" s="0">
        <is>
          <t>2026-10-09</t>
        </is>
      </c>
      <c r="M10" s="0">
        <v>1</v>
      </c>
      <c r="N10" s="6">
        <v>0.98</v>
      </c>
      <c r="O10" s="6">
        <v>98.0</v>
      </c>
      <c r="P10" s="6">
        <v>500.0</v>
      </c>
      <c r="Q10" t="inlineStr" s="0">
        <is>
          <t>2026-09-30</t>
        </is>
      </c>
      <c r="R10" t="inlineStr" s="0">
        <is>
          <t>00:00:00</t>
        </is>
      </c>
      <c r="S10" s="6">
        <v>0.67</v>
      </c>
      <c r="T10" s="6">
        <v>67.0</v>
      </c>
      <c r="U10" s="7">
        <f>O10-T10</f>
        <v>31.0</v>
      </c>
      <c r="V10" s="8">
        <f>IF(P10&gt;0,U10/P10,0)</f>
        <v>0.062</v>
      </c>
      <c r="W10" s="0">
        <v>24.0</v>
      </c>
      <c r="X10" t="inlineStr" s="0">
        <is>
          <t>Take-profit close (verified fill)</t>
        </is>
      </c>
      <c r="Y10" t="inlineStr" s="10">
        <is>
          <t>CLOSED_HARVESTED</t>
        </is>
      </c>
      <c r="Z10" t="inlineStr" s="0">
        <is>
          <t>tradier_2026-09-29</t>
        </is>
      </c>
    </row>
    <row r="11">
      <c r="A11" t="inlineStr" s="0">
        <is>
          <t>TRD-20260930-AVGO-335/305</t>
        </is>
      </c>
      <c r="B11" t="inlineStr" s="0">
        <is>
          <t>Alpaca Live (#290523608)</t>
        </is>
      </c>
      <c r="C11" t="inlineStr" s="10">
        <is>
          <t>AVGO</t>
        </is>
      </c>
      <c r="D11" t="inlineStr" s="0">
        <is>
          <t>1. AI Chips &amp; Hardware</t>
        </is>
      </c>
      <c r="E11" t="inlineStr" s="0">
        <is>
          <t>Bull Put Spread (335P/305P)</t>
        </is>
      </c>
      <c r="F11" t="inlineStr" s="0">
        <is>
          <t>2026-09-30</t>
        </is>
      </c>
      <c r="G11" t="inlineStr" s="0">
        <is>
          <t>14:36:14</t>
        </is>
      </c>
      <c r="H11" t="inlineStr" s="0">
        <is>
          <t>AVGO261016P00335000</t>
        </is>
      </c>
      <c r="I11" s="6">
        <v>335.0</v>
      </c>
      <c r="J11" t="inlineStr" s="0">
        <is>
          <t>AVGO261016P00305000</t>
        </is>
      </c>
      <c r="K11" s="6">
        <v>305.0</v>
      </c>
      <c r="L11" t="inlineStr" s="0">
        <is>
          <t>2026-10-16</t>
        </is>
      </c>
      <c r="M11" s="0">
        <v>3</v>
      </c>
      <c r="N11" s="6">
        <v>2.89</v>
      </c>
      <c r="O11" s="6">
        <v>867.0</v>
      </c>
      <c r="P11" s="6">
        <v>9000.0</v>
      </c>
      <c r="Q11" t="inlineStr" s="0">
        <is>
          <t>2026-10-02</t>
        </is>
      </c>
      <c r="R11" t="inlineStr" s="0">
        <is>
          <t>14:55:11</t>
        </is>
      </c>
      <c r="S11" s="6">
        <v>2.5</v>
      </c>
      <c r="T11" s="6">
        <v>750.0</v>
      </c>
      <c r="U11" s="7">
        <f>O11-T11</f>
        <v>117.0</v>
      </c>
      <c r="V11" s="8">
        <f>IF(P11&gt;0,U11/P11,0)</f>
        <v>0.013</v>
      </c>
      <c r="W11" s="0">
        <v>48.3</v>
      </c>
      <c r="X11" t="inlineStr" s="0">
        <is>
          <t>Take-profit close (verified fill)</t>
        </is>
      </c>
      <c r="Y11" t="inlineStr" s="10">
        <is>
          <t>CLOSED_HARVESTED</t>
        </is>
      </c>
      <c r="Z11" t="inlineStr" s="0">
        <is>
          <t>9e306619-a4b3-4116-9ebf-df20c399e587</t>
        </is>
      </c>
    </row>
    <row r="12">
      <c r="A12" t="inlineStr" s="0">
        <is>
          <t>TRD-20260930-QQQ-775/800</t>
        </is>
      </c>
      <c r="B12" t="inlineStr" s="0">
        <is>
          <t>Alpaca Live (#290523608)</t>
        </is>
      </c>
      <c r="C12" t="inlineStr" s="10">
        <is>
          <t>QQQ</t>
        </is>
      </c>
      <c r="D12" t="inlineStr" s="0">
        <is>
          <t>7. Broad Index &amp; Market Hedging</t>
        </is>
      </c>
      <c r="E12" t="inlineStr" s="0">
        <is>
          <t>Bear Call Spread (775C/800C)</t>
        </is>
      </c>
      <c r="F12" t="inlineStr" s="0">
        <is>
          <t>2026-09-30</t>
        </is>
      </c>
      <c r="G12" t="inlineStr" s="0">
        <is>
          <t>15:13:49</t>
        </is>
      </c>
      <c r="H12" t="inlineStr" s="0">
        <is>
          <t>QQQ261016C00775000</t>
        </is>
      </c>
      <c r="I12" s="6">
        <v>775.0</v>
      </c>
      <c r="J12" t="inlineStr" s="0">
        <is>
          <t>QQQ261016C00800000</t>
        </is>
      </c>
      <c r="K12" s="6">
        <v>800.0</v>
      </c>
      <c r="L12" t="inlineStr" s="0">
        <is>
          <t>2026-10-16</t>
        </is>
      </c>
      <c r="M12" s="0">
        <v>2</v>
      </c>
      <c r="N12" s="6">
        <v>1.42</v>
      </c>
      <c r="O12" s="6">
        <v>284.0</v>
      </c>
      <c r="P12" s="6">
        <v>5000.0</v>
      </c>
      <c r="Q12" t="inlineStr" s="0">
        <is>
          <t>2026-10-01</t>
        </is>
      </c>
      <c r="R12" t="inlineStr" s="0">
        <is>
          <t>14:20:26</t>
        </is>
      </c>
      <c r="S12" s="6">
        <v>0.89</v>
      </c>
      <c r="T12" s="6">
        <v>178.0</v>
      </c>
      <c r="U12" s="7">
        <f>O12-T12</f>
        <v>106.0</v>
      </c>
      <c r="V12" s="8">
        <f>IF(P12&gt;0,U12/P12,0)</f>
        <v>0.0212</v>
      </c>
      <c r="W12" s="0">
        <v>23.1</v>
      </c>
      <c r="X12" t="inlineStr" s="0">
        <is>
          <t>Take-profit close (verified fill)</t>
        </is>
      </c>
      <c r="Y12" t="inlineStr" s="10">
        <is>
          <t>CLOSED_HARVESTED</t>
        </is>
      </c>
      <c r="Z12" t="inlineStr" s="0">
        <is>
          <t>903e39db-a575-4154-99fe-72bf672e2c5e</t>
        </is>
      </c>
    </row>
    <row r="13">
      <c r="A13" t="inlineStr" s="0">
        <is>
          <t>TRD-20260930-QQQ-700/675</t>
        </is>
      </c>
      <c r="B13" t="inlineStr" s="0">
        <is>
          <t>Alpaca Live (#290523608)</t>
        </is>
      </c>
      <c r="C13" t="inlineStr" s="10">
        <is>
          <t>QQQ</t>
        </is>
      </c>
      <c r="D13" t="inlineStr" s="0">
        <is>
          <t>7. Broad Index &amp; Market Hedging</t>
        </is>
      </c>
      <c r="E13" t="inlineStr" s="0">
        <is>
          <t>Bull Put Spread (700P/675P)</t>
        </is>
      </c>
      <c r="F13" t="inlineStr" s="0">
        <is>
          <t>2026-09-30</t>
        </is>
      </c>
      <c r="G13" t="inlineStr" s="0">
        <is>
          <t>15:13:49</t>
        </is>
      </c>
      <c r="H13" t="inlineStr" s="0">
        <is>
          <t>QQQ261016P00700000</t>
        </is>
      </c>
      <c r="I13" s="6">
        <v>700.0</v>
      </c>
      <c r="J13" t="inlineStr" s="0">
        <is>
          <t>QQQ261016P00675000</t>
        </is>
      </c>
      <c r="K13" s="6">
        <v>675.0</v>
      </c>
      <c r="L13" t="inlineStr" s="0">
        <is>
          <t>2026-10-16</t>
        </is>
      </c>
      <c r="M13" s="0">
        <v>2</v>
      </c>
      <c r="N13" s="6">
        <v>1.0</v>
      </c>
      <c r="O13" s="6">
        <v>200.0</v>
      </c>
      <c r="P13" s="6">
        <v>5000.0</v>
      </c>
      <c r="Q13" t="inlineStr" s="0">
        <is>
          <t>2026-10-02</t>
        </is>
      </c>
      <c r="R13" t="inlineStr" s="0">
        <is>
          <t>13:30:19</t>
        </is>
      </c>
      <c r="S13" s="6">
        <v>0.57</v>
      </c>
      <c r="T13" s="6">
        <v>114.0</v>
      </c>
      <c r="U13" s="7">
        <f>O13-T13</f>
        <v>86.0</v>
      </c>
      <c r="V13" s="8">
        <f>IF(P13&gt;0,U13/P13,0)</f>
        <v>0.0172</v>
      </c>
      <c r="W13" s="0">
        <v>46.3</v>
      </c>
      <c r="X13" t="inlineStr" s="0">
        <is>
          <t>Take-profit close (verified fill)</t>
        </is>
      </c>
      <c r="Y13" t="inlineStr" s="10">
        <is>
          <t>CLOSED_HARVESTED</t>
        </is>
      </c>
      <c r="Z13" t="inlineStr" s="0">
        <is>
          <t>e268df2f-c894-47f6-8aea-9f1f91de236f</t>
        </is>
      </c>
    </row>
    <row r="14">
      <c r="A14" t="inlineStr" s="0">
        <is>
          <t>TRD-20260930-TSM-435/425</t>
        </is>
      </c>
      <c r="B14" t="inlineStr" s="0">
        <is>
          <t>Alpaca Live (#290523608)</t>
        </is>
      </c>
      <c r="C14" t="inlineStr" s="10">
        <is>
          <t>TSM</t>
        </is>
      </c>
      <c r="D14" t="inlineStr" s="0">
        <is>
          <t>1. AI Chips &amp; Hardware</t>
        </is>
      </c>
      <c r="E14" t="inlineStr" s="0">
        <is>
          <t>Bull Put Spread (435P/425P)</t>
        </is>
      </c>
      <c r="F14" t="inlineStr" s="0">
        <is>
          <t>2026-09-30</t>
        </is>
      </c>
      <c r="G14" t="inlineStr" s="0">
        <is>
          <t>14:47:06</t>
        </is>
      </c>
      <c r="H14" t="inlineStr" s="0">
        <is>
          <t>TSM261016P00435000</t>
        </is>
      </c>
      <c r="I14" s="6">
        <v>435.0</v>
      </c>
      <c r="J14" t="inlineStr" s="0">
        <is>
          <t>TSM261016P00425000</t>
        </is>
      </c>
      <c r="K14" s="6">
        <v>425.0</v>
      </c>
      <c r="L14" t="inlineStr" s="0">
        <is>
          <t>2026-10-16</t>
        </is>
      </c>
      <c r="M14" s="0">
        <v>3</v>
      </c>
      <c r="N14" s="6">
        <v>1.85</v>
      </c>
      <c r="O14" s="6">
        <v>555.0</v>
      </c>
      <c r="P14" s="6">
        <v>3000.0</v>
      </c>
      <c r="Q14" t="inlineStr" s="0">
        <is>
          <t>2026-10-02</t>
        </is>
      </c>
      <c r="R14" t="inlineStr" s="0">
        <is>
          <t>13:50:15</t>
        </is>
      </c>
      <c r="S14" s="6">
        <v>1.02</v>
      </c>
      <c r="T14" s="6">
        <v>306.0</v>
      </c>
      <c r="U14" s="7">
        <f>O14-T14</f>
        <v>249.0</v>
      </c>
      <c r="V14" s="8">
        <f>IF(P14&gt;0,U14/P14,0)</f>
        <v>0.083</v>
      </c>
      <c r="W14" s="0">
        <v>47.1</v>
      </c>
      <c r="X14" t="inlineStr" s="0">
        <is>
          <t>Take-profit close (verified fill)</t>
        </is>
      </c>
      <c r="Y14" t="inlineStr" s="10">
        <is>
          <t>CLOSED_HARVESTED</t>
        </is>
      </c>
      <c r="Z14" t="inlineStr" s="0">
        <is>
          <t>3b71756c-5bf9-4c7e-84b5-813ae535d313</t>
        </is>
      </c>
    </row>
    <row r="15">
      <c r="A15" t="inlineStr" s="0">
        <is>
          <t>TRD-20261002-AMD-605/600</t>
        </is>
      </c>
      <c r="B15" t="inlineStr" s="0">
        <is>
          <t>Tradier Live (#6YB80974)</t>
        </is>
      </c>
      <c r="C15" t="inlineStr" s="10">
        <is>
          <t>AMD</t>
        </is>
      </c>
      <c r="D15" t="inlineStr" s="0">
        <is>
          <t>1. AI Chips &amp; Hardware</t>
        </is>
      </c>
      <c r="E15" t="inlineStr" s="0">
        <is>
          <t>Bull Put Spread (605P/600P)</t>
        </is>
      </c>
      <c r="F15" t="inlineStr" s="0">
        <is>
          <t>2026-10-02</t>
        </is>
      </c>
      <c r="G15" t="inlineStr" s="0">
        <is>
          <t>15:19:39</t>
        </is>
      </c>
      <c r="H15" t="inlineStr" s="0">
        <is>
          <t>AMD261009P00605000</t>
        </is>
      </c>
      <c r="I15" s="6">
        <v>605.0</v>
      </c>
      <c r="J15" t="inlineStr" s="0">
        <is>
          <t>AMD261009P00600000</t>
        </is>
      </c>
      <c r="K15" s="6">
        <v>600.0</v>
      </c>
      <c r="L15" t="inlineStr" s="0">
        <is>
          <t>2026-10-09</t>
        </is>
      </c>
      <c r="M15" s="0">
        <v>1</v>
      </c>
      <c r="N15" s="6">
        <v>1.0</v>
      </c>
      <c r="O15" s="6">
        <v>100.0</v>
      </c>
      <c r="P15" s="6">
        <v>500.0</v>
      </c>
      <c r="Q15" t="inlineStr" s="0">
        <is>
          <t>-</t>
        </is>
      </c>
      <c r="R15" t="inlineStr" s="0">
        <is>
          <t>-</t>
        </is>
      </c>
      <c r="S15" s="6">
        <v>0.0</v>
      </c>
      <c r="T15" s="6">
        <v>0.0</v>
      </c>
      <c r="U15" s="6">
        <v>0.00</v>
      </c>
      <c r="V15" s="8">
        <v>0.0</v>
      </c>
      <c r="W15" s="0">
        <v>0.0</v>
      </c>
      <c r="X15" t="inlineStr" s="0">
        <is>
          <t>Active with broker (live position)</t>
        </is>
      </c>
      <c r="Y15" t="inlineStr" s="10">
        <is>
          <t>OPEN</t>
        </is>
      </c>
      <c r="Z15" t="inlineStr" s="0">
        <is>
          <t>149040437</t>
        </is>
      </c>
    </row>
    <row r="16">
      <c r="A16" t="inlineStr" s="0">
        <is>
          <t>TRD-20261002-TSM-445/435</t>
        </is>
      </c>
      <c r="B16" t="inlineStr" s="0">
        <is>
          <t>Alpaca Live (#290523608)</t>
        </is>
      </c>
      <c r="C16" t="inlineStr" s="10">
        <is>
          <t>TSM</t>
        </is>
      </c>
      <c r="D16" t="inlineStr" s="0">
        <is>
          <t>1. AI Chips &amp; Hardware</t>
        </is>
      </c>
      <c r="E16" t="inlineStr" s="0">
        <is>
          <t>Bull Put Spread (445P/435P)</t>
        </is>
      </c>
      <c r="F16" t="inlineStr" s="0">
        <is>
          <t>2026-10-02</t>
        </is>
      </c>
      <c r="G16" t="inlineStr" s="0">
        <is>
          <t>14:47:11</t>
        </is>
      </c>
      <c r="H16" t="inlineStr" s="0">
        <is>
          <t>TSM261016P00445000</t>
        </is>
      </c>
      <c r="I16" s="6">
        <v>445.0</v>
      </c>
      <c r="J16" t="inlineStr" s="0">
        <is>
          <t>TSM261016P00435000</t>
        </is>
      </c>
      <c r="K16" s="6">
        <v>435.0</v>
      </c>
      <c r="L16" t="inlineStr" s="0">
        <is>
          <t>2026-10-16</t>
        </is>
      </c>
      <c r="M16" s="0">
        <v>3</v>
      </c>
      <c r="N16" s="6">
        <v>1.53</v>
      </c>
      <c r="O16" s="6">
        <v>459.0</v>
      </c>
      <c r="P16" s="6">
        <v>3000.0</v>
      </c>
      <c r="Q16" t="inlineStr" s="0">
        <is>
          <t>-</t>
        </is>
      </c>
      <c r="R16" t="inlineStr" s="0">
        <is>
          <t>-</t>
        </is>
      </c>
      <c r="S16" s="6">
        <v>0.0</v>
      </c>
      <c r="T16" s="6">
        <v>0.0</v>
      </c>
      <c r="U16" s="6">
        <v>0.00</v>
      </c>
      <c r="V16" s="8">
        <v>0.0</v>
      </c>
      <c r="W16" s="0">
        <v>0.0</v>
      </c>
      <c r="X16" t="inlineStr" s="0">
        <is>
          <t>Active with broker (live position)</t>
        </is>
      </c>
      <c r="Y16" t="inlineStr" s="10">
        <is>
          <t>OPEN</t>
        </is>
      </c>
      <c r="Z16" t="inlineStr" s="0">
        <is>
          <t>1e28c073-1f65-4de0-a3c2-972df8c2f7bc</t>
        </is>
      </c>
    </row>
    <row r="17">
      <c r="A17" t="inlineStr" s="5">
        <is>
          <t>TOTALS / RECONCILED</t>
        </is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13">
        <f>SUM(M5:M16)</f>
        <v>25</v>
      </c>
      <c r="N17" s="5"/>
      <c r="O17" s="11">
        <f>SUM(O5:O16)</f>
        <v>3194.0</v>
      </c>
      <c r="P17" s="11">
        <f>SUM(P5:P16)</f>
        <v>30000.0</v>
      </c>
      <c r="Q17" s="5"/>
      <c r="R17" s="5"/>
      <c r="S17" s="5"/>
      <c r="T17" s="11">
        <f>SUM(T5:T16)</f>
        <v>1997.0</v>
      </c>
      <c r="U17" s="11">
        <f>SUM(U5:U16)</f>
        <v>638.0</v>
      </c>
      <c r="V17" s="5"/>
      <c r="W17" s="5"/>
      <c r="X17" s="5"/>
      <c r="Y17" s="5"/>
      <c r="Z17" s="5"/>
    </row>
  </sheetData>
</worksheet>
</file>

<file path=xl/worksheets/sheet3.xml><?xml version="1.0" encoding="utf-8"?>
<worksheet xmlns="http://schemas.openxmlformats.org/spreadsheetml/2006/main">
  <cols>
    <col min="1" max="1" width="16"/>
    <col min="2" max="2" width="28"/>
    <col min="3" max="3" width="16"/>
    <col min="4" max="4" width="26"/>
    <col min="5" max="5" width="24"/>
    <col min="6" max="6" width="26"/>
    <col min="7" max="7" width="26"/>
    <col min="8" max="8" width="32"/>
    <col min="9" max="9" width="24"/>
    <col min="10" max="10" width="40"/>
  </cols>
  <sheetData>
    <row r="1">
      <c r="A1" t="inlineStr" s="1">
        <is>
          <t>SKONVAULT INBOUND CAPITAL DEPOSIT &amp; WISE FX REMITTANCE AUDIT TRAIL</t>
        </is>
      </c>
    </row>
    <row r="2">
      <c r="A2" t="inlineStr" s="2">
        <is>
          <t>Cross-Border Capital Infusion Log — Reconciled with Bank Receipts, Wise Transfers, &amp; Clearing Brokers</t>
        </is>
      </c>
    </row>
    <row r="4">
      <c r="A4" t="inlineStr" s="4">
        <is>
          <t>Transfer Date</t>
        </is>
      </c>
      <c r="B4" t="inlineStr" s="4">
        <is>
          <t>Receiving Brokerage</t>
        </is>
      </c>
      <c r="C4" t="inlineStr" s="4">
        <is>
          <t>Target Account</t>
        </is>
      </c>
      <c r="D4" t="inlineStr" s="4">
        <is>
          <t>Platform / Account Type</t>
        </is>
      </c>
      <c r="E4" t="inlineStr" s="4">
        <is>
          <t>Injected Principal (USD)</t>
        </is>
      </c>
      <c r="F4" t="inlineStr" s="4">
        <is>
          <t>THB Principal Debited (THB)</t>
        </is>
      </c>
      <c r="G4" t="inlineStr" s="4">
        <is>
          <t>Effective FX Rate (THB/USD)</t>
        </is>
      </c>
      <c r="H4" t="inlineStr" s="4">
        <is>
          <t>Remittance Rail</t>
        </is>
      </c>
      <c r="I4" t="inlineStr" s="4">
        <is>
          <t>Clearing Status</t>
        </is>
      </c>
      <c r="J4" t="inlineStr" s="4">
        <is>
          <t>Strategic Allocation Memo</t>
        </is>
      </c>
    </row>
    <row r="5">
      <c r="A5" t="inlineStr" s="0">
        <is>
          <t>2026-09-10</t>
        </is>
      </c>
      <c r="B5" t="inlineStr" s="0">
        <is>
          <t>Alpaca Securities LLC</t>
        </is>
      </c>
      <c r="C5" t="inlineStr" s="0">
        <is>
          <t>290523608</t>
        </is>
      </c>
      <c r="D5" t="inlineStr" s="0">
        <is>
          <t>Alpaca Live (Margin)</t>
        </is>
      </c>
      <c r="E5" s="6">
        <v>10431.65</v>
      </c>
      <c r="F5" s="9">
        <v>345000.0</v>
      </c>
      <c r="G5" s="0">
        <v>33.0724</v>
      </c>
      <c r="H5" t="inlineStr" s="0">
        <is>
          <t>Wise ACH to BMO Harris (Alpaca)</t>
        </is>
      </c>
      <c r="I5" t="inlineStr" s="10">
        <is>
          <t>SETTLED / CREDITED 🟢</t>
        </is>
      </c>
      <c r="J5" t="inlineStr" s="0">
        <is>
          <t>Trading Capital Batch 4 (Bought 60 SGOV)</t>
        </is>
      </c>
    </row>
    <row r="6">
      <c r="A6" t="inlineStr" s="0">
        <is>
          <t>2026-09-09</t>
        </is>
      </c>
      <c r="B6" t="inlineStr" s="0">
        <is>
          <t>Alpaca Securities LLC</t>
        </is>
      </c>
      <c r="C6" t="inlineStr" s="0">
        <is>
          <t>290523608</t>
        </is>
      </c>
      <c r="D6" t="inlineStr" s="0">
        <is>
          <t>Alpaca Live (Margin)</t>
        </is>
      </c>
      <c r="E6" s="6">
        <v>10596.1</v>
      </c>
      <c r="F6" s="9">
        <v>351000.0</v>
      </c>
      <c r="G6" s="0">
        <v>33.1254</v>
      </c>
      <c r="H6" t="inlineStr" s="0">
        <is>
          <t>Wise ACH to BMO Harris (Alpaca)</t>
        </is>
      </c>
      <c r="I6" t="inlineStr" s="10">
        <is>
          <t>SETTLED / CREDITED 🟢</t>
        </is>
      </c>
      <c r="J6" t="inlineStr" s="0">
        <is>
          <t>Trading Capital Batch 3 (Bought 194 SGOV)</t>
        </is>
      </c>
    </row>
    <row r="7">
      <c r="A7" t="inlineStr" s="0">
        <is>
          <t>2026-09-04</t>
        </is>
      </c>
      <c r="B7" t="inlineStr" s="0">
        <is>
          <t>Alpaca Securities LLC</t>
        </is>
      </c>
      <c r="C7" t="inlineStr" s="0">
        <is>
          <t>290523608</t>
        </is>
      </c>
      <c r="D7" t="inlineStr" s="0">
        <is>
          <t>Alpaca Live (Margin)</t>
        </is>
      </c>
      <c r="E7" s="6">
        <v>4492.24</v>
      </c>
      <c r="F7" s="9">
        <v>148944.27</v>
      </c>
      <c r="G7" s="0">
        <v>33.1559</v>
      </c>
      <c r="H7" t="inlineStr" s="0">
        <is>
          <t>Wise ACH / Domestic Wire</t>
        </is>
      </c>
      <c r="I7" t="inlineStr" s="10">
        <is>
          <t>SETTLED / CLEARED 🟢</t>
        </is>
      </c>
      <c r="J7" t="inlineStr" s="0">
        <is>
          <t>Trading Capital Batch 2</t>
        </is>
      </c>
    </row>
    <row r="8">
      <c r="A8" t="inlineStr" s="0">
        <is>
          <t>2026-09-01</t>
        </is>
      </c>
      <c r="B8" t="inlineStr" s="0">
        <is>
          <t>Alpaca Securities LLC</t>
        </is>
      </c>
      <c r="C8" t="inlineStr" s="0">
        <is>
          <t>290523608</t>
        </is>
      </c>
      <c r="D8" t="inlineStr" s="0">
        <is>
          <t>Alpaca Live (Margin)</t>
        </is>
      </c>
      <c r="E8" s="6">
        <v>4498.33</v>
      </c>
      <c r="F8" s="9">
        <v>150000.0</v>
      </c>
      <c r="G8" s="0">
        <v>33.3457</v>
      </c>
      <c r="H8" t="inlineStr" s="0">
        <is>
          <t>Wise ACH / Domestic Wire</t>
        </is>
      </c>
      <c r="I8" t="inlineStr" s="10">
        <is>
          <t>SETTLED / CLEARED 🟢</t>
        </is>
      </c>
      <c r="J8" t="inlineStr" s="0">
        <is>
          <t>Trading Capital Batch 1 (Bought 44 SGOV)</t>
        </is>
      </c>
    </row>
    <row r="9">
      <c r="A9" t="inlineStr" s="0">
        <is>
          <t>2026-05-11</t>
        </is>
      </c>
      <c r="B9" t="inlineStr" s="0">
        <is>
          <t>Tradier (Apex Clearing Inc.)</t>
        </is>
      </c>
      <c r="C9" t="inlineStr" s="0">
        <is>
          <t>6YB80974</t>
        </is>
      </c>
      <c r="D9" t="inlineStr" s="0">
        <is>
          <t>Tradier Live (Margin L4)</t>
        </is>
      </c>
      <c r="E9" s="6">
        <v>2000.0</v>
      </c>
      <c r="F9" s="9">
        <v>64879.26</v>
      </c>
      <c r="G9" s="0">
        <v>32.4396</v>
      </c>
      <c r="H9" t="inlineStr" s="0">
        <is>
          <t>Wise Wire to Apex Clearing</t>
        </is>
      </c>
      <c r="I9" t="inlineStr" s="10">
        <is>
          <t>SETTLED / CLEARED 🟢</t>
        </is>
      </c>
      <c r="J9" t="inlineStr" s="0">
        <is>
          <t>POC Options Capital (Bought 19 SGOV)</t>
        </is>
      </c>
    </row>
    <row r="10">
      <c r="A10" t="inlineStr" s="0">
        <is>
          <t>2026-05-06</t>
        </is>
      </c>
      <c r="B10" t="inlineStr" s="0">
        <is>
          <t>Interactive Brokers LLC</t>
        </is>
      </c>
      <c r="C10" t="inlineStr" s="0">
        <is>
          <t>U25439978</t>
        </is>
      </c>
      <c r="D10" t="inlineStr" s="0">
        <is>
          <t>IBKR Pro (Margin)</t>
        </is>
      </c>
      <c r="E10" s="6">
        <v>2200.0</v>
      </c>
      <c r="F10" s="9">
        <v>71915.03</v>
      </c>
      <c r="G10" s="0">
        <v>32.6887</v>
      </c>
      <c r="H10" t="inlineStr" s="0">
        <is>
          <t>Wise Wire to Citi NY (IBKR)</t>
        </is>
      </c>
      <c r="I10" t="inlineStr" s="10">
        <is>
          <t>SETTLED / CLEARED 🟢</t>
        </is>
      </c>
      <c r="J10" t="inlineStr" s="0">
        <is>
          <t>IBKR Strategic Reserve Capital</t>
        </is>
      </c>
    </row>
    <row r="11">
      <c r="A11" t="inlineStr" s="5">
        <is>
          <t>CUMULATIVE CAPITAL INFLOW</t>
        </is>
      </c>
      <c r="B11" t="inlineStr" s="5">
        <is>
          <t>6 TRANSFERS</t>
        </is>
      </c>
      <c r="C11" s="5"/>
      <c r="D11" s="5"/>
      <c r="E11" s="11">
        <f>SUM(E5:E10)</f>
        <v>34218.32</v>
      </c>
      <c r="F11" s="12">
        <f>SUM(F5:F10)</f>
        <v>1131738.56</v>
      </c>
      <c r="G11" s="11">
        <f>F11/E11</f>
        <v>33.0741</v>
      </c>
      <c r="H11" t="inlineStr" s="5">
        <is>
          <t>100% WISE DIRECT</t>
        </is>
      </c>
      <c r="I11" t="inlineStr" s="5">
        <is>
          <t>ALL CLEARED 🟢</t>
        </is>
      </c>
      <c r="J11" t="inlineStr" s="5">
        <is>
          <t>FULLY CREDITED TO BROKERS</t>
        </is>
      </c>
    </row>
  </sheetData>
</worksheet>
</file>

<file path=xl/worksheets/sheet4.xml><?xml version="1.0" encoding="utf-8"?>
<worksheet xmlns="http://schemas.openxmlformats.org/spreadsheetml/2006/main">
  <cols>
    <col min="1" max="1" width="20"/>
    <col min="2" max="2" width="16"/>
    <col min="3" max="3" width="22"/>
    <col min="4" max="4" width="18"/>
    <col min="5" max="5" width="14"/>
    <col min="6" max="7" width="24"/>
    <col min="8" max="9" width="24"/>
    <col min="10" max="10" width="26"/>
    <col min="11" max="11" width="24"/>
    <col min="12" max="12" width="38"/>
  </cols>
  <sheetData>
    <row r="1">
      <c r="A1" t="inlineStr" s="1">
        <is>
          <t>EXTERNAL REVENUE DEPARTMENT &amp; TAX COMPLIANCE REPORT</t>
        </is>
      </c>
    </row>
    <row r="2">
      <c r="A2" t="inlineStr" s="2">
        <is>
          <t>Official Corporate Options Trading Revenue Ledger (Foreign Currency &amp; THB Translation)</t>
        </is>
      </c>
    </row>
    <row r="4">
      <c r="A4" t="inlineStr" s="4">
        <is>
          <t>Tax Event ID</t>
        </is>
      </c>
      <c r="B4" t="inlineStr" s="4">
        <is>
          <t>Execution Date</t>
        </is>
      </c>
      <c r="C4" t="inlineStr" s="4">
        <is>
          <t>Broker Entity</t>
        </is>
      </c>
      <c r="D4" t="inlineStr" s="4">
        <is>
          <t>Account Number</t>
        </is>
      </c>
      <c r="E4" t="inlineStr" s="4">
        <is>
          <t>Asset / Ticker</t>
        </is>
      </c>
      <c r="F4" t="inlineStr" s="4">
        <is>
          <t>Gross Option Premium Received ($)</t>
        </is>
      </c>
      <c r="G4" t="inlineStr" s="4">
        <is>
          <t>Option Premium Paid / Closing ($)</t>
        </is>
      </c>
      <c r="H4" t="inlineStr" s="4">
        <is>
          <t>Net Realized Capital Gain ($)</t>
        </is>
      </c>
      <c r="I4" t="inlineStr" s="4">
        <is>
          <t>Official BOT Exchange Rate (USD/THB)</t>
        </is>
      </c>
      <c r="J4" t="inlineStr" s="4">
        <is>
          <t>Gross Taxable Revenue (THB)</t>
        </is>
      </c>
      <c r="K4" t="inlineStr" s="4">
        <is>
          <t>Withholding Tax Base (THB)</t>
        </is>
      </c>
      <c r="L4" t="inlineStr" s="4">
        <is>
          <t>Compliance Audit Reference</t>
        </is>
      </c>
    </row>
    <row r="5">
      <c r="A5" t="inlineStr" s="0">
        <is>
          <t>TAX-20260908-XLF-54/52</t>
        </is>
      </c>
      <c r="B5" t="inlineStr" s="0">
        <is>
          <t>2026-09-25</t>
        </is>
      </c>
      <c r="C5" t="inlineStr" s="0">
        <is>
          <t>Alpaca Securities LLC</t>
        </is>
      </c>
      <c r="D5" t="inlineStr" s="0">
        <is>
          <t>290523608</t>
        </is>
      </c>
      <c r="E5" t="inlineStr" s="10">
        <is>
          <t>XLF</t>
        </is>
      </c>
      <c r="F5" s="6">
        <v>11.0</v>
      </c>
      <c r="G5" s="6">
        <v>44.0</v>
      </c>
      <c r="H5" s="6">
        <f>F5-G5</f>
        <v>-33.0</v>
      </c>
      <c r="I5" s="6">
        <v>36.5</v>
      </c>
      <c r="J5" s="9">
        <f>IF(H5&gt;0,H5*I5,0)</f>
        <v>0.0</v>
      </c>
      <c r="K5" s="9">
        <f>J5</f>
        <v>0.0</v>
      </c>
      <c r="L5" t="inlineStr" s="0">
        <is>
          <t>ac0766e8-0d3b-4d3b-9826-b71e2ac092d0</t>
        </is>
      </c>
    </row>
    <row r="6">
      <c r="A6" t="inlineStr" s="0">
        <is>
          <t>TAX-20260908-XLF-54/53</t>
        </is>
      </c>
      <c r="B6" t="inlineStr" s="0">
        <is>
          <t>2026-09-28</t>
        </is>
      </c>
      <c r="C6" t="inlineStr" s="0">
        <is>
          <t>Tradier (Apex Clearing Corp)</t>
        </is>
      </c>
      <c r="D6" t="inlineStr" s="0">
        <is>
          <t>6YB80974</t>
        </is>
      </c>
      <c r="E6" t="inlineStr" s="10">
        <is>
          <t>XLF</t>
        </is>
      </c>
      <c r="F6" s="6">
        <v>8.0</v>
      </c>
      <c r="G6" s="6">
        <v>35.0</v>
      </c>
      <c r="H6" s="6">
        <f>F6-G6</f>
        <v>-27.0</v>
      </c>
      <c r="I6" s="6">
        <v>36.5</v>
      </c>
      <c r="J6" s="9">
        <f>IF(H6&gt;0,H6*I6,0)</f>
        <v>0.0</v>
      </c>
      <c r="K6" s="9">
        <f>J6</f>
        <v>0.0</v>
      </c>
      <c r="L6" t="inlineStr" s="0">
        <is>
          <t>tradier_2026-09-08</t>
        </is>
      </c>
    </row>
    <row r="7">
      <c r="A7" t="inlineStr" s="0">
        <is>
          <t>TAX-20260921-XLE-60/58</t>
        </is>
      </c>
      <c r="B7" t="inlineStr" s="0">
        <is>
          <t>2026-10-02</t>
        </is>
      </c>
      <c r="C7" t="inlineStr" s="0">
        <is>
          <t>Alpaca Securities LLC</t>
        </is>
      </c>
      <c r="D7" t="inlineStr" s="0">
        <is>
          <t>290523608</t>
        </is>
      </c>
      <c r="E7" t="inlineStr" s="10">
        <is>
          <t>XLE</t>
        </is>
      </c>
      <c r="F7" s="6">
        <v>36.0</v>
      </c>
      <c r="G7" s="6">
        <v>32.0</v>
      </c>
      <c r="H7" s="7">
        <f>F7-G7</f>
        <v>4.0</v>
      </c>
      <c r="I7" s="6">
        <v>36.5</v>
      </c>
      <c r="J7" s="9">
        <f>IF(H7&gt;0,H7*I7,0)</f>
        <v>146.0</v>
      </c>
      <c r="K7" s="9">
        <f>J7</f>
        <v>146.0</v>
      </c>
      <c r="L7" t="inlineStr" s="0">
        <is>
          <t>cfbf1164-cbbb-4bd0-bc9c-27af3ce36483</t>
        </is>
      </c>
    </row>
    <row r="8">
      <c r="A8" t="inlineStr" s="0">
        <is>
          <t>TAX-20260928-NVDA-220/215</t>
        </is>
      </c>
      <c r="B8" t="inlineStr" s="0">
        <is>
          <t>2026-10-01</t>
        </is>
      </c>
      <c r="C8" t="inlineStr" s="0">
        <is>
          <t>Alpaca Securities LLC</t>
        </is>
      </c>
      <c r="D8" t="inlineStr" s="0">
        <is>
          <t>290523608</t>
        </is>
      </c>
      <c r="E8" t="inlineStr" s="10">
        <is>
          <t>NVDA</t>
        </is>
      </c>
      <c r="F8" s="6">
        <v>426.0</v>
      </c>
      <c r="G8" s="6">
        <v>402.0</v>
      </c>
      <c r="H8" s="7">
        <f>F8-G8</f>
        <v>24.0</v>
      </c>
      <c r="I8" s="6">
        <v>36.5</v>
      </c>
      <c r="J8" s="9">
        <f>IF(H8&gt;0,H8*I8,0)</f>
        <v>876.0</v>
      </c>
      <c r="K8" s="9">
        <f>J8</f>
        <v>876.0</v>
      </c>
      <c r="L8" t="inlineStr" s="0">
        <is>
          <t>b62cee06-2bd9-43c4-a8ce-53385fad4b19</t>
        </is>
      </c>
    </row>
    <row r="9">
      <c r="A9" t="inlineStr" s="0">
        <is>
          <t>TAX-20260928-TSM-425/420</t>
        </is>
      </c>
      <c r="B9" t="inlineStr" s="0">
        <is>
          <t>2026-10-02</t>
        </is>
      </c>
      <c r="C9" t="inlineStr" s="0">
        <is>
          <t>Tradier (Apex Clearing Corp)</t>
        </is>
      </c>
      <c r="D9" t="inlineStr" s="0">
        <is>
          <t>6YB80974</t>
        </is>
      </c>
      <c r="E9" t="inlineStr" s="10">
        <is>
          <t>TSM</t>
        </is>
      </c>
      <c r="F9" s="6">
        <v>150.0</v>
      </c>
      <c r="G9" s="6">
        <v>69.0</v>
      </c>
      <c r="H9" s="7">
        <f>F9-G9</f>
        <v>81.0</v>
      </c>
      <c r="I9" s="6">
        <v>36.5</v>
      </c>
      <c r="J9" s="9">
        <f>IF(H9&gt;0,H9*I9,0)</f>
        <v>2956.5</v>
      </c>
      <c r="K9" s="9">
        <f>J9</f>
        <v>2956.5</v>
      </c>
      <c r="L9" t="inlineStr" s="0">
        <is>
          <t>tradier_2026-09-28</t>
        </is>
      </c>
    </row>
    <row r="10">
      <c r="A10" t="inlineStr" s="0">
        <is>
          <t>TAX-20260929-META-685/680</t>
        </is>
      </c>
      <c r="B10" t="inlineStr" s="0">
        <is>
          <t>2026-09-30</t>
        </is>
      </c>
      <c r="C10" t="inlineStr" s="0">
        <is>
          <t>Tradier (Apex Clearing Corp)</t>
        </is>
      </c>
      <c r="D10" t="inlineStr" s="0">
        <is>
          <t>6YB80974</t>
        </is>
      </c>
      <c r="E10" t="inlineStr" s="10">
        <is>
          <t>META</t>
        </is>
      </c>
      <c r="F10" s="6">
        <v>98.0</v>
      </c>
      <c r="G10" s="6">
        <v>67.0</v>
      </c>
      <c r="H10" s="7">
        <f>F10-G10</f>
        <v>31.0</v>
      </c>
      <c r="I10" s="6">
        <v>36.5</v>
      </c>
      <c r="J10" s="9">
        <f>IF(H10&gt;0,H10*I10,0)</f>
        <v>1131.5</v>
      </c>
      <c r="K10" s="9">
        <f>J10</f>
        <v>1131.5</v>
      </c>
      <c r="L10" t="inlineStr" s="0">
        <is>
          <t>tradier_2026-09-29</t>
        </is>
      </c>
    </row>
    <row r="11">
      <c r="A11" t="inlineStr" s="0">
        <is>
          <t>TAX-20260930-AVGO-335/305</t>
        </is>
      </c>
      <c r="B11" t="inlineStr" s="0">
        <is>
          <t>2026-10-02</t>
        </is>
      </c>
      <c r="C11" t="inlineStr" s="0">
        <is>
          <t>Alpaca Securities LLC</t>
        </is>
      </c>
      <c r="D11" t="inlineStr" s="0">
        <is>
          <t>290523608</t>
        </is>
      </c>
      <c r="E11" t="inlineStr" s="10">
        <is>
          <t>AVGO</t>
        </is>
      </c>
      <c r="F11" s="6">
        <v>867.0</v>
      </c>
      <c r="G11" s="6">
        <v>750.0</v>
      </c>
      <c r="H11" s="7">
        <f>F11-G11</f>
        <v>117.0</v>
      </c>
      <c r="I11" s="6">
        <v>36.5</v>
      </c>
      <c r="J11" s="9">
        <f>IF(H11&gt;0,H11*I11,0)</f>
        <v>4270.5</v>
      </c>
      <c r="K11" s="9">
        <f>J11</f>
        <v>4270.5</v>
      </c>
      <c r="L11" t="inlineStr" s="0">
        <is>
          <t>9e306619-a4b3-4116-9ebf-df20c399e587</t>
        </is>
      </c>
    </row>
    <row r="12">
      <c r="A12" t="inlineStr" s="0">
        <is>
          <t>TAX-20260930-QQQ-775/800</t>
        </is>
      </c>
      <c r="B12" t="inlineStr" s="0">
        <is>
          <t>2026-10-01</t>
        </is>
      </c>
      <c r="C12" t="inlineStr" s="0">
        <is>
          <t>Alpaca Securities LLC</t>
        </is>
      </c>
      <c r="D12" t="inlineStr" s="0">
        <is>
          <t>290523608</t>
        </is>
      </c>
      <c r="E12" t="inlineStr" s="10">
        <is>
          <t>QQQ</t>
        </is>
      </c>
      <c r="F12" s="6">
        <v>284.0</v>
      </c>
      <c r="G12" s="6">
        <v>178.0</v>
      </c>
      <c r="H12" s="7">
        <f>F12-G12</f>
        <v>106.0</v>
      </c>
      <c r="I12" s="6">
        <v>36.5</v>
      </c>
      <c r="J12" s="9">
        <f>IF(H12&gt;0,H12*I12,0)</f>
        <v>3869.0</v>
      </c>
      <c r="K12" s="9">
        <f>J12</f>
        <v>3869.0</v>
      </c>
      <c r="L12" t="inlineStr" s="0">
        <is>
          <t>903e39db-a575-4154-99fe-72bf672e2c5e</t>
        </is>
      </c>
    </row>
    <row r="13">
      <c r="A13" t="inlineStr" s="0">
        <is>
          <t>TAX-20260930-QQQ-700/675</t>
        </is>
      </c>
      <c r="B13" t="inlineStr" s="0">
        <is>
          <t>2026-10-02</t>
        </is>
      </c>
      <c r="C13" t="inlineStr" s="0">
        <is>
          <t>Alpaca Securities LLC</t>
        </is>
      </c>
      <c r="D13" t="inlineStr" s="0">
        <is>
          <t>290523608</t>
        </is>
      </c>
      <c r="E13" t="inlineStr" s="10">
        <is>
          <t>QQQ</t>
        </is>
      </c>
      <c r="F13" s="6">
        <v>200.0</v>
      </c>
      <c r="G13" s="6">
        <v>114.0</v>
      </c>
      <c r="H13" s="7">
        <f>F13-G13</f>
        <v>86.0</v>
      </c>
      <c r="I13" s="6">
        <v>36.5</v>
      </c>
      <c r="J13" s="9">
        <f>IF(H13&gt;0,H13*I13,0)</f>
        <v>3139.0</v>
      </c>
      <c r="K13" s="9">
        <f>J13</f>
        <v>3139.0</v>
      </c>
      <c r="L13" t="inlineStr" s="0">
        <is>
          <t>e268df2f-c894-47f6-8aea-9f1f91de236f</t>
        </is>
      </c>
    </row>
    <row r="14">
      <c r="A14" t="inlineStr" s="0">
        <is>
          <t>TAX-20260930-TSM-435/425</t>
        </is>
      </c>
      <c r="B14" t="inlineStr" s="0">
        <is>
          <t>2026-10-02</t>
        </is>
      </c>
      <c r="C14" t="inlineStr" s="0">
        <is>
          <t>Alpaca Securities LLC</t>
        </is>
      </c>
      <c r="D14" t="inlineStr" s="0">
        <is>
          <t>290523608</t>
        </is>
      </c>
      <c r="E14" t="inlineStr" s="10">
        <is>
          <t>TSM</t>
        </is>
      </c>
      <c r="F14" s="6">
        <v>555.0</v>
      </c>
      <c r="G14" s="6">
        <v>306.0</v>
      </c>
      <c r="H14" s="7">
        <f>F14-G14</f>
        <v>249.0</v>
      </c>
      <c r="I14" s="6">
        <v>36.5</v>
      </c>
      <c r="J14" s="9">
        <f>IF(H14&gt;0,H14*I14,0)</f>
        <v>9088.5</v>
      </c>
      <c r="K14" s="9">
        <f>J14</f>
        <v>9088.5</v>
      </c>
      <c r="L14" t="inlineStr" s="0">
        <is>
          <t>3b71756c-5bf9-4c7e-84b5-813ae535d313</t>
        </is>
      </c>
    </row>
    <row r="15">
      <c r="A15" t="inlineStr" s="5">
        <is>
          <t>TOTAL CLOSED REVENUE</t>
        </is>
      </c>
      <c r="B15" s="5"/>
      <c r="C15" s="5"/>
      <c r="D15" s="5"/>
      <c r="E15" s="5"/>
      <c r="F15" s="11">
        <f>SUM(F5:F14)</f>
        <v>2635.0</v>
      </c>
      <c r="G15" s="11">
        <f>SUM(G5:G14)</f>
        <v>1997.0</v>
      </c>
      <c r="H15" s="11">
        <f>SUM(H5:H14)</f>
        <v>638.0</v>
      </c>
      <c r="I15" s="5"/>
      <c r="J15" s="12">
        <f>SUM(J5:J14)</f>
        <v>25477.0</v>
      </c>
      <c r="K15" s="12">
        <f>SUM(K5:K14)</f>
        <v>25477.0</v>
      </c>
      <c r="L15" t="inlineStr" s="5">
        <is>
          <t>AUDITED COMPLIANT ✅</t>
        </is>
      </c>
    </row>
  </sheetData>
</worksheet>
</file>