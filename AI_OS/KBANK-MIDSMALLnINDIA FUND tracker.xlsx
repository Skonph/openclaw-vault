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\Skon\personal\MBA\FM\"/>
    </mc:Choice>
  </mc:AlternateContent>
  <xr:revisionPtr revIDLastSave="0" documentId="13_ncr:1_{04A10981-F1C4-4AEE-A5D5-F7EFADB26E56}" xr6:coauthVersionLast="47" xr6:coauthVersionMax="47" xr10:uidLastSave="{00000000-0000-0000-0000-000000000000}"/>
  <bookViews>
    <workbookView xWindow="-110" yWindow="-110" windowWidth="19420" windowHeight="10420" firstSheet="3" activeTab="6" xr2:uid="{00000000-000D-0000-FFFF-FFFF00000000}"/>
  </bookViews>
  <sheets>
    <sheet name="BTC" sheetId="2" r:id="rId1"/>
    <sheet name="Zipmex" sheetId="5" r:id="rId2"/>
    <sheet name="Binance" sheetId="6" r:id="rId3"/>
    <sheet name="Fund" sheetId="3" r:id="rId4"/>
    <sheet name="Tracking" sheetId="7" r:id="rId5"/>
    <sheet name="Tool" sheetId="8" r:id="rId6"/>
    <sheet name="Snapshot" sheetId="9" r:id="rId7"/>
  </sheets>
  <definedNames>
    <definedName name="_xlnm._FilterDatabase" localSheetId="4" hidden="1">Tracking!$A$1:$AK$173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5" i="9" l="1"/>
  <c r="I34" i="9"/>
  <c r="I33" i="9"/>
  <c r="I32" i="9"/>
  <c r="I31" i="9"/>
  <c r="I30" i="9"/>
  <c r="I29" i="9"/>
  <c r="I28" i="9"/>
  <c r="I27" i="9"/>
  <c r="I26" i="9"/>
  <c r="I25" i="9"/>
  <c r="I24" i="9"/>
  <c r="I23" i="9"/>
  <c r="I22" i="9"/>
  <c r="I21" i="9"/>
  <c r="I20" i="9"/>
  <c r="I19" i="9"/>
  <c r="I18" i="9"/>
  <c r="I17" i="9"/>
  <c r="I16" i="9"/>
  <c r="I15" i="9"/>
  <c r="I14" i="9"/>
  <c r="I13" i="9"/>
  <c r="I12" i="9"/>
  <c r="I11" i="9"/>
  <c r="I10" i="9"/>
  <c r="I9" i="9"/>
  <c r="I8" i="9"/>
  <c r="I7" i="9"/>
  <c r="I6" i="9"/>
  <c r="I4" i="9"/>
  <c r="I3" i="9"/>
  <c r="I2" i="9"/>
  <c r="BD507" i="3"/>
  <c r="BC507" i="3"/>
  <c r="BB507" i="3"/>
  <c r="BA507" i="3"/>
  <c r="AZ507" i="3"/>
  <c r="AY507" i="3"/>
  <c r="AX507" i="3"/>
  <c r="AW507" i="3"/>
  <c r="AV507" i="3"/>
  <c r="AU507" i="3"/>
  <c r="AT507" i="3"/>
  <c r="AS507" i="3"/>
  <c r="AR507" i="3"/>
  <c r="AQ507" i="3"/>
  <c r="AP507" i="3"/>
  <c r="AO507" i="3"/>
  <c r="AN507" i="3"/>
  <c r="AM507" i="3"/>
  <c r="AL507" i="3"/>
  <c r="AK507" i="3"/>
  <c r="AJ507" i="3"/>
  <c r="AI507" i="3"/>
  <c r="AH507" i="3"/>
  <c r="AG507" i="3"/>
  <c r="AF507" i="3"/>
  <c r="AE507" i="3"/>
  <c r="AD507" i="3"/>
  <c r="AC507" i="3"/>
  <c r="AB507" i="3"/>
  <c r="AA507" i="3"/>
  <c r="Z507" i="3"/>
  <c r="Y507" i="3"/>
  <c r="X507" i="3"/>
  <c r="W507" i="3"/>
  <c r="V507" i="3"/>
  <c r="U507" i="3"/>
  <c r="T507" i="3"/>
  <c r="S507" i="3"/>
  <c r="R507" i="3"/>
  <c r="Q507" i="3"/>
  <c r="P507" i="3"/>
  <c r="O507" i="3"/>
  <c r="N507" i="3"/>
  <c r="M507" i="3"/>
  <c r="L507" i="3"/>
  <c r="K507" i="3"/>
  <c r="J507" i="3"/>
  <c r="I507" i="3"/>
  <c r="H507" i="3"/>
  <c r="G507" i="3"/>
  <c r="F507" i="3"/>
  <c r="E507" i="3"/>
  <c r="D507" i="3"/>
  <c r="BD506" i="3"/>
  <c r="BC506" i="3"/>
  <c r="BB506" i="3"/>
  <c r="BA506" i="3"/>
  <c r="AZ506" i="3"/>
  <c r="AY506" i="3"/>
  <c r="AX506" i="3"/>
  <c r="AW506" i="3"/>
  <c r="AV506" i="3"/>
  <c r="AU506" i="3"/>
  <c r="AT506" i="3"/>
  <c r="AS506" i="3"/>
  <c r="AR506" i="3"/>
  <c r="AQ506" i="3"/>
  <c r="AP506" i="3"/>
  <c r="AO506" i="3"/>
  <c r="AN506" i="3"/>
  <c r="AM506" i="3"/>
  <c r="AL506" i="3"/>
  <c r="AK506" i="3"/>
  <c r="AJ506" i="3"/>
  <c r="AI506" i="3"/>
  <c r="AH506" i="3"/>
  <c r="AG506" i="3"/>
  <c r="AF506" i="3"/>
  <c r="AE506" i="3"/>
  <c r="AD506" i="3"/>
  <c r="AC506" i="3"/>
  <c r="AB506" i="3"/>
  <c r="AA506" i="3"/>
  <c r="Z506" i="3"/>
  <c r="Y506" i="3"/>
  <c r="X506" i="3"/>
  <c r="W506" i="3"/>
  <c r="V506" i="3"/>
  <c r="U506" i="3"/>
  <c r="T506" i="3"/>
  <c r="S506" i="3"/>
  <c r="R506" i="3"/>
  <c r="Q506" i="3"/>
  <c r="P506" i="3"/>
  <c r="O506" i="3"/>
  <c r="N506" i="3"/>
  <c r="M506" i="3"/>
  <c r="L506" i="3"/>
  <c r="K506" i="3"/>
  <c r="J506" i="3"/>
  <c r="I506" i="3"/>
  <c r="H506" i="3"/>
  <c r="G506" i="3"/>
  <c r="F506" i="3"/>
  <c r="E506" i="3"/>
  <c r="D506" i="3"/>
  <c r="BD505" i="3"/>
  <c r="BC505" i="3"/>
  <c r="BB505" i="3"/>
  <c r="BA505" i="3"/>
  <c r="AZ505" i="3"/>
  <c r="AY505" i="3"/>
  <c r="AX505" i="3"/>
  <c r="AW505" i="3"/>
  <c r="AV505" i="3"/>
  <c r="AU505" i="3"/>
  <c r="AT505" i="3"/>
  <c r="AS505" i="3"/>
  <c r="AR505" i="3"/>
  <c r="AQ505" i="3"/>
  <c r="AP505" i="3"/>
  <c r="AO505" i="3"/>
  <c r="AN505" i="3"/>
  <c r="AM505" i="3"/>
  <c r="AL505" i="3"/>
  <c r="AK505" i="3"/>
  <c r="AJ505" i="3"/>
  <c r="AI505" i="3"/>
  <c r="AH505" i="3"/>
  <c r="AG505" i="3"/>
  <c r="AF505" i="3"/>
  <c r="AE505" i="3"/>
  <c r="AD505" i="3"/>
  <c r="AC505" i="3"/>
  <c r="AB505" i="3"/>
  <c r="AA505" i="3"/>
  <c r="Z505" i="3"/>
  <c r="Y505" i="3"/>
  <c r="X505" i="3"/>
  <c r="W505" i="3"/>
  <c r="V505" i="3"/>
  <c r="U505" i="3"/>
  <c r="T505" i="3"/>
  <c r="S505" i="3"/>
  <c r="R505" i="3"/>
  <c r="Q505" i="3"/>
  <c r="P505" i="3"/>
  <c r="O505" i="3"/>
  <c r="N505" i="3"/>
  <c r="M505" i="3"/>
  <c r="L505" i="3"/>
  <c r="K505" i="3"/>
  <c r="J505" i="3"/>
  <c r="I505" i="3"/>
  <c r="H505" i="3"/>
  <c r="G505" i="3"/>
  <c r="F505" i="3"/>
  <c r="E505" i="3"/>
  <c r="D505" i="3"/>
  <c r="BD504" i="3"/>
  <c r="BC504" i="3"/>
  <c r="BB504" i="3"/>
  <c r="BA504" i="3"/>
  <c r="AZ504" i="3"/>
  <c r="AY504" i="3"/>
  <c r="AX504" i="3"/>
  <c r="AW504" i="3"/>
  <c r="AV504" i="3"/>
  <c r="AU504" i="3"/>
  <c r="AT504" i="3"/>
  <c r="AS504" i="3"/>
  <c r="AR504" i="3"/>
  <c r="AQ504" i="3"/>
  <c r="AP504" i="3"/>
  <c r="AO504" i="3"/>
  <c r="AN504" i="3"/>
  <c r="AM504" i="3"/>
  <c r="AL504" i="3"/>
  <c r="AK504" i="3"/>
  <c r="AJ504" i="3"/>
  <c r="AI504" i="3"/>
  <c r="AH504" i="3"/>
  <c r="AG504" i="3"/>
  <c r="AF504" i="3"/>
  <c r="AE504" i="3"/>
  <c r="AD504" i="3"/>
  <c r="AC504" i="3"/>
  <c r="AB504" i="3"/>
  <c r="AA504" i="3"/>
  <c r="Z504" i="3"/>
  <c r="Y504" i="3"/>
  <c r="X504" i="3"/>
  <c r="W504" i="3"/>
  <c r="V504" i="3"/>
  <c r="U504" i="3"/>
  <c r="T504" i="3"/>
  <c r="S504" i="3"/>
  <c r="R504" i="3"/>
  <c r="Q504" i="3"/>
  <c r="P504" i="3"/>
  <c r="O504" i="3"/>
  <c r="N504" i="3"/>
  <c r="M504" i="3"/>
  <c r="L504" i="3"/>
  <c r="K504" i="3"/>
  <c r="J504" i="3"/>
  <c r="I504" i="3"/>
  <c r="H504" i="3"/>
  <c r="G504" i="3"/>
  <c r="F504" i="3"/>
  <c r="E504" i="3"/>
  <c r="D504" i="3"/>
  <c r="BD503" i="3"/>
  <c r="BC503" i="3"/>
  <c r="BB503" i="3"/>
  <c r="BA503" i="3"/>
  <c r="AZ503" i="3"/>
  <c r="AY503" i="3"/>
  <c r="AX503" i="3"/>
  <c r="AW503" i="3"/>
  <c r="AV503" i="3"/>
  <c r="AU503" i="3"/>
  <c r="AT503" i="3"/>
  <c r="AS503" i="3"/>
  <c r="AR503" i="3"/>
  <c r="AQ503" i="3"/>
  <c r="AP503" i="3"/>
  <c r="AO503" i="3"/>
  <c r="AN503" i="3"/>
  <c r="K31" i="9" s="1"/>
  <c r="AM503" i="3"/>
  <c r="AL503" i="3"/>
  <c r="AK503" i="3"/>
  <c r="AJ503" i="3"/>
  <c r="AI503" i="3"/>
  <c r="AH503" i="3"/>
  <c r="AG503" i="3"/>
  <c r="AF503" i="3"/>
  <c r="AE503" i="3"/>
  <c r="AD503" i="3"/>
  <c r="AC503" i="3"/>
  <c r="AB503" i="3"/>
  <c r="AA503" i="3"/>
  <c r="Z503" i="3"/>
  <c r="Y503" i="3"/>
  <c r="X503" i="3"/>
  <c r="W503" i="3"/>
  <c r="V503" i="3"/>
  <c r="U503" i="3"/>
  <c r="T503" i="3"/>
  <c r="S503" i="3"/>
  <c r="R503" i="3"/>
  <c r="Q503" i="3"/>
  <c r="P503" i="3"/>
  <c r="O503" i="3"/>
  <c r="N503" i="3"/>
  <c r="K6" i="9" s="1"/>
  <c r="M503" i="3"/>
  <c r="L503" i="3"/>
  <c r="K503" i="3"/>
  <c r="J503" i="3"/>
  <c r="I503" i="3"/>
  <c r="H503" i="3"/>
  <c r="G503" i="3"/>
  <c r="F503" i="3"/>
  <c r="E503" i="3"/>
  <c r="D503" i="3"/>
  <c r="BD502" i="3"/>
  <c r="BC502" i="3"/>
  <c r="BB502" i="3"/>
  <c r="BA502" i="3"/>
  <c r="AZ502" i="3"/>
  <c r="AY502" i="3"/>
  <c r="AX502" i="3"/>
  <c r="AW502" i="3"/>
  <c r="AV502" i="3"/>
  <c r="AU502" i="3"/>
  <c r="AT502" i="3"/>
  <c r="AS502" i="3"/>
  <c r="AR502" i="3"/>
  <c r="AQ502" i="3"/>
  <c r="AP502" i="3"/>
  <c r="AO502" i="3"/>
  <c r="AN502" i="3"/>
  <c r="AM502" i="3"/>
  <c r="AL502" i="3"/>
  <c r="AK502" i="3"/>
  <c r="AJ502" i="3"/>
  <c r="AI502" i="3"/>
  <c r="AH502" i="3"/>
  <c r="AG502" i="3"/>
  <c r="AF502" i="3"/>
  <c r="AE502" i="3"/>
  <c r="AD502" i="3"/>
  <c r="AC502" i="3"/>
  <c r="AB502" i="3"/>
  <c r="AA502" i="3"/>
  <c r="Z502" i="3"/>
  <c r="Y502" i="3"/>
  <c r="X502" i="3"/>
  <c r="W502" i="3"/>
  <c r="V502" i="3"/>
  <c r="U502" i="3"/>
  <c r="T502" i="3"/>
  <c r="S502" i="3"/>
  <c r="R502" i="3"/>
  <c r="Q502" i="3"/>
  <c r="P502" i="3"/>
  <c r="O502" i="3"/>
  <c r="N502" i="3"/>
  <c r="M502" i="3"/>
  <c r="L502" i="3"/>
  <c r="K502" i="3"/>
  <c r="J502" i="3"/>
  <c r="I502" i="3"/>
  <c r="H502" i="3"/>
  <c r="G502" i="3"/>
  <c r="F502" i="3"/>
  <c r="E502" i="3"/>
  <c r="D502" i="3"/>
  <c r="BD501" i="3"/>
  <c r="BC501" i="3"/>
  <c r="BB501" i="3"/>
  <c r="BA501" i="3"/>
  <c r="AZ501" i="3"/>
  <c r="AY501" i="3"/>
  <c r="AX501" i="3"/>
  <c r="AW501" i="3"/>
  <c r="AV501" i="3"/>
  <c r="AU501" i="3"/>
  <c r="AT501" i="3"/>
  <c r="AS501" i="3"/>
  <c r="AR501" i="3"/>
  <c r="AQ501" i="3"/>
  <c r="AP501" i="3"/>
  <c r="AO501" i="3"/>
  <c r="AN501" i="3"/>
  <c r="AM501" i="3"/>
  <c r="AL501" i="3"/>
  <c r="AK501" i="3"/>
  <c r="AJ501" i="3"/>
  <c r="AI501" i="3"/>
  <c r="AH501" i="3"/>
  <c r="AG501" i="3"/>
  <c r="AF501" i="3"/>
  <c r="AE501" i="3"/>
  <c r="AD501" i="3"/>
  <c r="AC501" i="3"/>
  <c r="AB501" i="3"/>
  <c r="AA501" i="3"/>
  <c r="Z501" i="3"/>
  <c r="Y501" i="3"/>
  <c r="X501" i="3"/>
  <c r="W501" i="3"/>
  <c r="V501" i="3"/>
  <c r="U501" i="3"/>
  <c r="T501" i="3"/>
  <c r="S501" i="3"/>
  <c r="R501" i="3"/>
  <c r="Q501" i="3"/>
  <c r="P501" i="3"/>
  <c r="O501" i="3"/>
  <c r="N501" i="3"/>
  <c r="M501" i="3"/>
  <c r="L501" i="3"/>
  <c r="K501" i="3"/>
  <c r="J501" i="3"/>
  <c r="I501" i="3"/>
  <c r="H501" i="3"/>
  <c r="G501" i="3"/>
  <c r="F501" i="3"/>
  <c r="E501" i="3"/>
  <c r="D501" i="3"/>
  <c r="BD500" i="3"/>
  <c r="BC500" i="3"/>
  <c r="BB500" i="3"/>
  <c r="BA500" i="3"/>
  <c r="AZ500" i="3"/>
  <c r="AY500" i="3"/>
  <c r="AX500" i="3"/>
  <c r="AW500" i="3"/>
  <c r="AV500" i="3"/>
  <c r="AU500" i="3"/>
  <c r="AT500" i="3"/>
  <c r="AS500" i="3"/>
  <c r="AR500" i="3"/>
  <c r="AQ500" i="3"/>
  <c r="AP500" i="3"/>
  <c r="AO500" i="3"/>
  <c r="AN500" i="3"/>
  <c r="AM500" i="3"/>
  <c r="AL500" i="3"/>
  <c r="AK500" i="3"/>
  <c r="AJ500" i="3"/>
  <c r="AI500" i="3"/>
  <c r="AH500" i="3"/>
  <c r="AG500" i="3"/>
  <c r="AF500" i="3"/>
  <c r="AE500" i="3"/>
  <c r="AD500" i="3"/>
  <c r="AC500" i="3"/>
  <c r="AB500" i="3"/>
  <c r="AA500" i="3"/>
  <c r="Z500" i="3"/>
  <c r="Y500" i="3"/>
  <c r="X500" i="3"/>
  <c r="W500" i="3"/>
  <c r="V500" i="3"/>
  <c r="U500" i="3"/>
  <c r="T500" i="3"/>
  <c r="S500" i="3"/>
  <c r="R500" i="3"/>
  <c r="Q500" i="3"/>
  <c r="P500" i="3"/>
  <c r="O500" i="3"/>
  <c r="N500" i="3"/>
  <c r="M500" i="3"/>
  <c r="L500" i="3"/>
  <c r="K500" i="3"/>
  <c r="J500" i="3"/>
  <c r="I500" i="3"/>
  <c r="H500" i="3"/>
  <c r="G500" i="3"/>
  <c r="F500" i="3"/>
  <c r="E500" i="3"/>
  <c r="D500" i="3"/>
  <c r="C507" i="3"/>
  <c r="C506" i="3"/>
  <c r="C505" i="3"/>
  <c r="C504" i="3"/>
  <c r="C503" i="3"/>
  <c r="C502" i="3"/>
  <c r="C501" i="3"/>
  <c r="C500" i="3"/>
  <c r="K35" i="9"/>
  <c r="K34" i="9"/>
  <c r="K33" i="9"/>
  <c r="K28" i="9"/>
  <c r="K26" i="9"/>
  <c r="K25" i="9"/>
  <c r="K24" i="9"/>
  <c r="K23" i="9"/>
  <c r="K22" i="9"/>
  <c r="K21" i="9"/>
  <c r="K20" i="9"/>
  <c r="K19" i="9"/>
  <c r="K18" i="9"/>
  <c r="K17" i="9"/>
  <c r="K16" i="9"/>
  <c r="K15" i="9"/>
  <c r="K14" i="9"/>
  <c r="K13" i="9"/>
  <c r="K12" i="9"/>
  <c r="K11" i="9"/>
  <c r="K9" i="9"/>
  <c r="BE507" i="3"/>
  <c r="BE506" i="3"/>
  <c r="BE505" i="3"/>
  <c r="BE504" i="3"/>
  <c r="BE503" i="3"/>
  <c r="BE502" i="3"/>
  <c r="BE501" i="3"/>
  <c r="BE500" i="3"/>
  <c r="B507" i="3"/>
  <c r="B506" i="3"/>
  <c r="B505" i="3"/>
  <c r="B504" i="3"/>
  <c r="B503" i="3"/>
  <c r="B502" i="3"/>
  <c r="B501" i="3"/>
  <c r="B500" i="3"/>
  <c r="C9" i="9"/>
  <c r="E23" i="9"/>
  <c r="J2" i="8"/>
  <c r="I2" i="8"/>
  <c r="AV1" i="3"/>
  <c r="AX1" i="3"/>
  <c r="AR1" i="3"/>
  <c r="AQ1" i="3"/>
  <c r="AW1" i="3"/>
  <c r="F163" i="7"/>
  <c r="M11" i="9"/>
  <c r="B3" i="9"/>
  <c r="F131" i="7"/>
  <c r="F130" i="7"/>
  <c r="F119" i="7"/>
  <c r="F118" i="7"/>
  <c r="F116" i="7"/>
  <c r="F117" i="7"/>
  <c r="C19" i="8"/>
  <c r="C18" i="8"/>
  <c r="C17" i="8"/>
  <c r="C16" i="8"/>
  <c r="C15" i="8"/>
  <c r="C14" i="8"/>
  <c r="C13" i="8"/>
  <c r="AC13" i="7"/>
  <c r="AA6" i="7"/>
  <c r="U10" i="7"/>
  <c r="Q7" i="7"/>
  <c r="Y38" i="7"/>
  <c r="M24" i="7"/>
  <c r="AG101" i="7"/>
  <c r="AE54" i="7"/>
  <c r="O67" i="7"/>
  <c r="S23" i="7"/>
  <c r="W85" i="7"/>
  <c r="M21" i="7"/>
  <c r="AG89" i="7"/>
  <c r="AC4" i="7"/>
  <c r="AA2" i="7"/>
  <c r="U8" i="7"/>
  <c r="Q5" i="7"/>
  <c r="Y9" i="7"/>
  <c r="O34" i="7"/>
  <c r="S3" i="7"/>
  <c r="W74" i="7"/>
  <c r="C5" i="8"/>
  <c r="C8" i="8"/>
  <c r="C9" i="8"/>
  <c r="C3" i="8"/>
  <c r="E2" i="8"/>
  <c r="C2" i="8"/>
  <c r="C11" i="8" s="1"/>
  <c r="K30" i="9" l="1"/>
  <c r="K32" i="9"/>
  <c r="K29" i="9"/>
  <c r="K27" i="9"/>
  <c r="K10" i="9"/>
  <c r="K8" i="9"/>
  <c r="K7" i="9"/>
  <c r="K3" i="9"/>
  <c r="K2" i="9"/>
  <c r="K4" i="9"/>
  <c r="J33" i="9"/>
  <c r="J29" i="9"/>
  <c r="J24" i="9"/>
  <c r="J19" i="9"/>
  <c r="J16" i="9"/>
  <c r="J11" i="9"/>
  <c r="J6" i="9"/>
  <c r="J35" i="9"/>
  <c r="J30" i="9"/>
  <c r="J25" i="9"/>
  <c r="J20" i="9"/>
  <c r="J15" i="9"/>
  <c r="J12" i="9"/>
  <c r="J2" i="9"/>
  <c r="J34" i="9"/>
  <c r="J27" i="9"/>
  <c r="J21" i="9"/>
  <c r="J17" i="9"/>
  <c r="J14" i="9"/>
  <c r="J10" i="9"/>
  <c r="J4" i="9"/>
  <c r="J32" i="9"/>
  <c r="J31" i="9"/>
  <c r="J28" i="9"/>
  <c r="J26" i="9"/>
  <c r="J22" i="9"/>
  <c r="J18" i="9"/>
  <c r="J13" i="9"/>
  <c r="J8" i="9"/>
  <c r="J23" i="9"/>
  <c r="J9" i="9"/>
  <c r="J7" i="9"/>
  <c r="J3" i="9"/>
  <c r="AK21" i="7"/>
  <c r="D6" i="8" s="1"/>
  <c r="C10" i="8"/>
  <c r="C7" i="8"/>
  <c r="C6" i="8"/>
  <c r="C4" i="8"/>
  <c r="AI89" i="7"/>
  <c r="AI74" i="7"/>
  <c r="G3" i="8" s="1"/>
  <c r="H1" i="7"/>
  <c r="BD2" i="3"/>
  <c r="AD1" i="7" s="1"/>
  <c r="BB2" i="3"/>
  <c r="AB1" i="7" s="1"/>
  <c r="Z1" i="7"/>
  <c r="AK2" i="3"/>
  <c r="X1" i="7" s="1"/>
  <c r="AG2" i="3"/>
  <c r="V1" i="7" s="1"/>
  <c r="AD2" i="3"/>
  <c r="T1" i="7" s="1"/>
  <c r="N2" i="3"/>
  <c r="P1" i="7" s="1"/>
  <c r="L2" i="3"/>
  <c r="N1" i="7" s="1"/>
  <c r="BH1" i="3"/>
  <c r="BH2" i="3" s="1"/>
  <c r="BG1" i="3"/>
  <c r="BG2" i="3" s="1"/>
  <c r="BF1" i="3"/>
  <c r="BF2" i="3" s="1"/>
  <c r="BI1" i="3"/>
  <c r="AE50" i="7"/>
  <c r="AF1" i="7"/>
  <c r="R1" i="7"/>
  <c r="BP3" i="3"/>
  <c r="BM2" i="3"/>
  <c r="BM5" i="3" s="1"/>
  <c r="BL2" i="3"/>
  <c r="BL5" i="3" s="1"/>
  <c r="BK2" i="3"/>
  <c r="BK5" i="3" s="1"/>
  <c r="G1" i="7"/>
  <c r="N11" i="9" l="1"/>
  <c r="O11" i="9" s="1"/>
  <c r="J38" i="9"/>
  <c r="L25" i="9" s="1"/>
  <c r="AK50" i="7"/>
  <c r="AK74" i="7"/>
  <c r="D3" i="8" s="1"/>
  <c r="AK89" i="7"/>
  <c r="AK8" i="7"/>
  <c r="D9" i="8" s="1"/>
  <c r="AK9" i="7"/>
  <c r="D7" i="8" s="1"/>
  <c r="AK34" i="7"/>
  <c r="D5" i="8" s="1"/>
  <c r="AK5" i="7"/>
  <c r="D8" i="8" s="1"/>
  <c r="AK3" i="7"/>
  <c r="D4" i="8" s="1"/>
  <c r="AK4" i="7"/>
  <c r="D11" i="8" s="1"/>
  <c r="AK2" i="7"/>
  <c r="D10" i="8" s="1"/>
  <c r="F2" i="8"/>
  <c r="I1" i="7"/>
  <c r="AI4" i="7"/>
  <c r="AI34" i="7"/>
  <c r="AI21" i="7"/>
  <c r="AI5" i="7"/>
  <c r="AI2" i="7"/>
  <c r="AI8" i="7"/>
  <c r="AI9" i="7"/>
  <c r="G7" i="8" s="1"/>
  <c r="AI50" i="7"/>
  <c r="AI3" i="7"/>
  <c r="AP2" i="6"/>
  <c r="AO2" i="6"/>
  <c r="AN2" i="6"/>
  <c r="O3" i="6"/>
  <c r="S2" i="6"/>
  <c r="V2" i="6"/>
  <c r="Y2" i="6"/>
  <c r="AB2" i="6"/>
  <c r="AK2" i="6"/>
  <c r="AH2" i="6"/>
  <c r="AE2" i="6"/>
  <c r="P2" i="6"/>
  <c r="L2" i="6"/>
  <c r="H2" i="6"/>
  <c r="O2" i="6"/>
  <c r="K2" i="6"/>
  <c r="G3" i="6"/>
  <c r="G4" i="6"/>
  <c r="G5" i="6"/>
  <c r="G6" i="6"/>
  <c r="G2" i="6"/>
  <c r="B2" i="6"/>
  <c r="C1" i="6" s="1"/>
  <c r="V5" i="5"/>
  <c r="Y3" i="5"/>
  <c r="X3" i="5"/>
  <c r="W3" i="5"/>
  <c r="G9" i="5"/>
  <c r="B82" i="5"/>
  <c r="B2" i="5"/>
  <c r="S1" i="5" s="1"/>
  <c r="B90" i="5"/>
  <c r="B132" i="5"/>
  <c r="E131" i="5"/>
  <c r="E130" i="5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L90" i="5"/>
  <c r="E93" i="5"/>
  <c r="E92" i="5"/>
  <c r="E91" i="5"/>
  <c r="E90" i="5"/>
  <c r="L89" i="5"/>
  <c r="L88" i="5"/>
  <c r="L87" i="5"/>
  <c r="L86" i="5"/>
  <c r="L85" i="5"/>
  <c r="L84" i="5"/>
  <c r="L83" i="5"/>
  <c r="E84" i="5"/>
  <c r="E83" i="5"/>
  <c r="F82" i="5"/>
  <c r="F81" i="5"/>
  <c r="L81" i="5"/>
  <c r="E80" i="5"/>
  <c r="E79" i="5"/>
  <c r="E78" i="5"/>
  <c r="E77" i="5"/>
  <c r="E76" i="5"/>
  <c r="E75" i="5"/>
  <c r="F64" i="5"/>
  <c r="E74" i="5"/>
  <c r="E73" i="5"/>
  <c r="E72" i="5"/>
  <c r="E71" i="5"/>
  <c r="L65" i="5"/>
  <c r="E70" i="5"/>
  <c r="E69" i="5"/>
  <c r="E68" i="5"/>
  <c r="E67" i="5"/>
  <c r="E66" i="5"/>
  <c r="E65" i="5"/>
  <c r="F55" i="5"/>
  <c r="E64" i="5"/>
  <c r="L64" i="5"/>
  <c r="E63" i="5"/>
  <c r="E62" i="5"/>
  <c r="E61" i="5"/>
  <c r="L55" i="5"/>
  <c r="E60" i="5"/>
  <c r="E59" i="5"/>
  <c r="E58" i="5"/>
  <c r="E57" i="5"/>
  <c r="E56" i="5"/>
  <c r="E55" i="5"/>
  <c r="L54" i="5"/>
  <c r="M2" i="5"/>
  <c r="F52" i="5"/>
  <c r="E54" i="5"/>
  <c r="E53" i="5"/>
  <c r="F50" i="5"/>
  <c r="L53" i="5"/>
  <c r="E52" i="5"/>
  <c r="L52" i="5"/>
  <c r="E51" i="5"/>
  <c r="E50" i="5"/>
  <c r="F47" i="5"/>
  <c r="L49" i="5"/>
  <c r="L48" i="5"/>
  <c r="L47" i="5"/>
  <c r="F46" i="5"/>
  <c r="L45" i="5"/>
  <c r="L44" i="5"/>
  <c r="L43" i="5"/>
  <c r="F38" i="5"/>
  <c r="E42" i="5"/>
  <c r="E41" i="5"/>
  <c r="E40" i="5"/>
  <c r="E39" i="5"/>
  <c r="E38" i="5"/>
  <c r="F28" i="5"/>
  <c r="L28" i="5"/>
  <c r="E37" i="5"/>
  <c r="E36" i="5"/>
  <c r="E35" i="5"/>
  <c r="E34" i="5"/>
  <c r="J2" i="5"/>
  <c r="D2" i="5"/>
  <c r="H2" i="5" s="1"/>
  <c r="C2" i="5"/>
  <c r="E33" i="5"/>
  <c r="E32" i="5"/>
  <c r="E31" i="5"/>
  <c r="E30" i="5"/>
  <c r="E29" i="5"/>
  <c r="E28" i="5"/>
  <c r="E27" i="5"/>
  <c r="F9" i="5"/>
  <c r="F2" i="5"/>
  <c r="E26" i="5"/>
  <c r="E25" i="5"/>
  <c r="E24" i="5"/>
  <c r="L15" i="5"/>
  <c r="E23" i="5"/>
  <c r="E22" i="5"/>
  <c r="E21" i="5"/>
  <c r="E20" i="5"/>
  <c r="E19" i="5"/>
  <c r="E18" i="5"/>
  <c r="E17" i="5"/>
  <c r="E16" i="5"/>
  <c r="L14" i="5"/>
  <c r="E15" i="5"/>
  <c r="E14" i="5"/>
  <c r="E13" i="5"/>
  <c r="E12" i="5"/>
  <c r="E11" i="5"/>
  <c r="E10" i="5"/>
  <c r="E9" i="5"/>
  <c r="E8" i="5"/>
  <c r="E7" i="5"/>
  <c r="E6" i="5"/>
  <c r="E5" i="5"/>
  <c r="E3" i="5"/>
  <c r="L13" i="5"/>
  <c r="L12" i="5"/>
  <c r="L11" i="5"/>
  <c r="L10" i="5"/>
  <c r="L9" i="5"/>
  <c r="K7" i="5"/>
  <c r="L7" i="5"/>
  <c r="K6" i="5"/>
  <c r="L6" i="5"/>
  <c r="L3" i="5"/>
  <c r="F4" i="5"/>
  <c r="F5" i="5"/>
  <c r="F6" i="5"/>
  <c r="F8" i="5"/>
  <c r="B6" i="5"/>
  <c r="B82" i="3"/>
  <c r="I17" i="3"/>
  <c r="AK46" i="3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L4" i="2"/>
  <c r="L3" i="2"/>
  <c r="L2" i="2"/>
  <c r="K4" i="2"/>
  <c r="B2" i="2"/>
  <c r="K2" i="2"/>
  <c r="K2" i="5"/>
  <c r="O2" i="5"/>
  <c r="T2" i="5"/>
  <c r="N2" i="5"/>
  <c r="P2" i="5"/>
  <c r="L2" i="5"/>
  <c r="L26" i="9" l="1"/>
  <c r="L10" i="9"/>
  <c r="L30" i="9"/>
  <c r="L34" i="9"/>
  <c r="L35" i="9"/>
  <c r="L28" i="9"/>
  <c r="L11" i="9"/>
  <c r="L14" i="9"/>
  <c r="L4" i="9"/>
  <c r="L6" i="9"/>
  <c r="L15" i="9"/>
  <c r="L13" i="9"/>
  <c r="L16" i="9"/>
  <c r="M2" i="9"/>
  <c r="L19" i="9"/>
  <c r="L23" i="9"/>
  <c r="L24" i="9"/>
  <c r="L12" i="9"/>
  <c r="L9" i="9"/>
  <c r="L29" i="9"/>
  <c r="L32" i="9"/>
  <c r="L17" i="9"/>
  <c r="L2" i="9"/>
  <c r="L31" i="9"/>
  <c r="L8" i="9"/>
  <c r="L21" i="9"/>
  <c r="L20" i="9"/>
  <c r="L22" i="9"/>
  <c r="L27" i="9"/>
  <c r="L18" i="9"/>
  <c r="L33" i="9"/>
  <c r="L3" i="9"/>
  <c r="L7" i="9"/>
  <c r="D2" i="8"/>
  <c r="I2" i="5"/>
  <c r="Q2" i="5" s="1"/>
  <c r="R2" i="5" s="1"/>
  <c r="G2" i="5"/>
  <c r="E2" i="5"/>
  <c r="AQ2" i="6"/>
  <c r="D2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skon</author>
    <author>tc={89C8880F-CC44-449F-8C79-15147BFEF6B0}</author>
    <author>tc={D0D35B92-CE9B-45D4-AEF4-8686CAD318C5}</author>
  </authors>
  <commentList>
    <comment ref="B9" authorId="0" shapeId="0" xr:uid="{D7C1A891-2C0F-4C37-8C3A-CF43A59E2B71}">
      <text>
        <r>
          <rPr>
            <b/>
            <sz val="9"/>
            <color indexed="81"/>
            <rFont val="Tahoma"/>
            <family val="2"/>
          </rPr>
          <t>skon:</t>
        </r>
        <r>
          <rPr>
            <sz val="9"/>
            <color indexed="81"/>
            <rFont val="Tahoma"/>
            <family val="2"/>
          </rPr>
          <t xml:space="preserve">
Loan from Kannika
Payback on 31Aug21</t>
        </r>
      </text>
    </comment>
    <comment ref="B90" authorId="0" shapeId="0" xr:uid="{AE67DFDF-C36C-4193-9F56-24F4908C7736}">
      <text>
        <r>
          <rPr>
            <b/>
            <sz val="9"/>
            <color indexed="81"/>
            <rFont val="Tahoma"/>
            <family val="2"/>
          </rPr>
          <t>skon:</t>
        </r>
        <r>
          <rPr>
            <sz val="9"/>
            <color indexed="81"/>
            <rFont val="Tahoma"/>
            <family val="2"/>
          </rPr>
          <t xml:space="preserve">
Loan from Kannika</t>
        </r>
      </text>
    </comment>
    <comment ref="B132" authorId="0" shapeId="0" xr:uid="{D99DD5CF-5158-4F30-910A-BA1BE6CFEFF2}">
      <text>
        <r>
          <rPr>
            <b/>
            <sz val="9"/>
            <color indexed="81"/>
            <rFont val="Tahoma"/>
            <family val="2"/>
          </rPr>
          <t>skon:</t>
        </r>
        <r>
          <rPr>
            <sz val="9"/>
            <color indexed="81"/>
            <rFont val="Tahoma"/>
            <family val="2"/>
          </rPr>
          <t xml:space="preserve">
Load from Kannika
Incld 12 and 13Apr</t>
        </r>
      </text>
    </comment>
    <comment ref="A141" authorId="0" shapeId="0" xr:uid="{6CEC43D4-AF28-4B1B-91C8-AFAEFE281A31}">
      <text>
        <r>
          <rPr>
            <b/>
            <sz val="9"/>
            <color indexed="81"/>
            <rFont val="Tahoma"/>
            <family val="2"/>
          </rPr>
          <t>skon:</t>
        </r>
        <r>
          <rPr>
            <sz val="9"/>
            <color indexed="81"/>
            <rFont val="Tahoma"/>
            <family val="2"/>
          </rPr>
          <t xml:space="preserve">
Sale of Kannika portion (ZMT)</t>
        </r>
      </text>
    </comment>
    <comment ref="B142" authorId="0" shapeId="0" xr:uid="{98DE9D6A-D89B-41BE-9452-63ECAB97ECA9}">
      <text>
        <r>
          <rPr>
            <b/>
            <sz val="9"/>
            <color indexed="81"/>
            <rFont val="Tahoma"/>
            <family val="2"/>
          </rPr>
          <t>skon:</t>
        </r>
        <r>
          <rPr>
            <sz val="9"/>
            <color indexed="81"/>
            <rFont val="Tahoma"/>
            <family val="2"/>
          </rPr>
          <t xml:space="preserve">
Loan from Kannika
xchange for huawei laptop</t>
        </r>
      </text>
    </comment>
    <comment ref="B160" authorId="1" shapeId="0" xr:uid="{89C8880F-CC44-449F-8C79-15147BFEF6B0}">
      <text>
        <t>[Threaded comment]
Your version of Excel allows you to read this threaded comment; however, any edits to it will get removed if the file is opened in a newer version of Excel. Learn more: https://go.microsoft.com/fwlink/?linkid=870924
Comment:
    Loan of 50K with interest of 3750THB</t>
      </text>
    </comment>
    <comment ref="B162" authorId="2" shapeId="0" xr:uid="{D0D35B92-CE9B-45D4-AEF4-8686CAD318C5}">
      <text>
        <t>[Threaded comment]
Your version of Excel allows you to read this threaded comment; however, any edits to it will get removed if the file is opened in a newer version of Excel. Learn more: https://go.microsoft.com/fwlink/?linkid=870924
Comment:
    Loan from Tan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skon</author>
    <author>tc={B1C1A7B2-4F3D-4CC7-BAB9-87BDFF483C4A}</author>
    <author>tc={306D662D-DA77-424F-80FA-3288A07052C3}</author>
  </authors>
  <commentList>
    <comment ref="B90" authorId="0" shapeId="0" xr:uid="{0E1F8C19-1CF5-4A66-93EF-C101CA6FD77F}">
      <text>
        <r>
          <rPr>
            <b/>
            <sz val="9"/>
            <color indexed="81"/>
            <rFont val="Tahoma"/>
            <family val="2"/>
          </rPr>
          <t>skon:</t>
        </r>
        <r>
          <rPr>
            <sz val="9"/>
            <color indexed="81"/>
            <rFont val="Tahoma"/>
            <family val="2"/>
          </rPr>
          <t xml:space="preserve">
Loan from Kannika</t>
        </r>
      </text>
    </comment>
    <comment ref="B132" authorId="0" shapeId="0" xr:uid="{185E1364-1ABC-4C63-AE00-C30C17023B1A}">
      <text>
        <r>
          <rPr>
            <b/>
            <sz val="9"/>
            <color indexed="81"/>
            <rFont val="Tahoma"/>
            <family val="2"/>
          </rPr>
          <t>skon:</t>
        </r>
        <r>
          <rPr>
            <sz val="9"/>
            <color indexed="81"/>
            <rFont val="Tahoma"/>
            <family val="2"/>
          </rPr>
          <t xml:space="preserve">
Load from Kannika
Incld 12 and 13Apr</t>
        </r>
      </text>
    </comment>
    <comment ref="A141" authorId="0" shapeId="0" xr:uid="{96B38B2A-2BA4-4F70-A8BF-EE70D48650D2}">
      <text>
        <r>
          <rPr>
            <b/>
            <sz val="9"/>
            <color indexed="81"/>
            <rFont val="Tahoma"/>
            <family val="2"/>
          </rPr>
          <t>skon:</t>
        </r>
        <r>
          <rPr>
            <sz val="9"/>
            <color indexed="81"/>
            <rFont val="Tahoma"/>
            <family val="2"/>
          </rPr>
          <t xml:space="preserve">
Sale of Kannika portion (ZMT)</t>
        </r>
      </text>
    </comment>
    <comment ref="B142" authorId="0" shapeId="0" xr:uid="{5EF860F3-81F1-4D23-B34B-60ED2F3F33EF}">
      <text>
        <r>
          <rPr>
            <b/>
            <sz val="9"/>
            <color indexed="81"/>
            <rFont val="Tahoma"/>
            <family val="2"/>
          </rPr>
          <t>skon:</t>
        </r>
        <r>
          <rPr>
            <sz val="9"/>
            <color indexed="81"/>
            <rFont val="Tahoma"/>
            <family val="2"/>
          </rPr>
          <t xml:space="preserve">
Loan from Kannika
xchange for huawei laptop</t>
        </r>
      </text>
    </comment>
    <comment ref="B160" authorId="1" shapeId="0" xr:uid="{B1C1A7B2-4F3D-4CC7-BAB9-87BDFF483C4A}">
      <text>
        <t>[Threaded comment]
Your version of Excel allows you to read this threaded comment; however, any edits to it will get removed if the file is opened in a newer version of Excel. Learn more: https://go.microsoft.com/fwlink/?linkid=870924
Comment:
    Loan of 50K with interest of 3750THB</t>
      </text>
    </comment>
    <comment ref="B162" authorId="2" shapeId="0" xr:uid="{306D662D-DA77-424F-80FA-3288A07052C3}">
      <text>
        <t>[Threaded comment]
Your version of Excel allows you to read this threaded comment; however, any edits to it will get removed if the file is opened in a newer version of Excel. Learn more: https://go.microsoft.com/fwlink/?linkid=870924
Comment:
    Loan from Tan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skon</author>
  </authors>
  <commentList>
    <comment ref="J4" authorId="0" shapeId="0" xr:uid="{B100A64F-5623-44DC-AFFF-F48FF029D77C}">
      <text>
        <r>
          <rPr>
            <b/>
            <sz val="9"/>
            <color indexed="81"/>
            <rFont val="Tahoma"/>
            <family val="2"/>
          </rPr>
          <t>skon:</t>
        </r>
        <r>
          <rPr>
            <sz val="9"/>
            <color indexed="81"/>
            <rFont val="Tahoma"/>
            <family val="2"/>
          </rPr>
          <t xml:space="preserve">
15000</t>
        </r>
      </text>
    </comment>
    <comment ref="AI4" authorId="0" shapeId="0" xr:uid="{98052844-77F4-4736-9F97-DDD9CF8F250C}">
      <text>
        <r>
          <rPr>
            <b/>
            <sz val="9"/>
            <color indexed="81"/>
            <rFont val="Tahoma"/>
            <family val="2"/>
          </rPr>
          <t>skon:</t>
        </r>
        <r>
          <rPr>
            <sz val="9"/>
            <color indexed="81"/>
            <rFont val="Tahoma"/>
            <family val="2"/>
          </rPr>
          <t xml:space="preserve">
10000
</t>
        </r>
      </text>
    </comment>
    <comment ref="AL4" authorId="0" shapeId="0" xr:uid="{1B89CDBA-E1D0-4F53-AE35-3AC843DC3AEC}">
      <text>
        <r>
          <rPr>
            <b/>
            <sz val="9"/>
            <color indexed="81"/>
            <rFont val="Tahoma"/>
            <family val="2"/>
          </rPr>
          <t>skon:</t>
        </r>
        <r>
          <rPr>
            <sz val="9"/>
            <color indexed="81"/>
            <rFont val="Tahoma"/>
            <family val="2"/>
          </rPr>
          <t xml:space="preserve">
20000</t>
        </r>
      </text>
    </comment>
    <comment ref="AX4" authorId="0" shapeId="0" xr:uid="{C06EAE37-CE66-479F-9C16-3C55193C8B90}">
      <text>
        <r>
          <rPr>
            <b/>
            <sz val="9"/>
            <color indexed="81"/>
            <rFont val="Tahoma"/>
            <family val="2"/>
          </rPr>
          <t>skon: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tc={EEC05309-0697-4DA7-B3F1-6DD97EFCABF3}</author>
  </authors>
  <commentList>
    <comment ref="D99" authorId="0" shapeId="0" xr:uid="{EEC05309-0697-4DA7-B3F1-6DD97EFCABF3}">
      <text>
        <t>[Threaded comment]
Your version of Excel allows you to read this threaded comment; however, any edits to it will get removed if the file is opened in a newer version of Excel. Learn more: https://go.microsoft.com/fwlink/?linkid=870924
Comment:
    Switch out to KFGTECHRMF</t>
      </text>
    </comment>
  </commentList>
</comments>
</file>

<file path=xl/sharedStrings.xml><?xml version="1.0" encoding="utf-8"?>
<sst xmlns="http://schemas.openxmlformats.org/spreadsheetml/2006/main" count="867" uniqueCount="231">
  <si>
    <t>BTC</t>
  </si>
  <si>
    <t>Balance</t>
  </si>
  <si>
    <t>BTH for BTC</t>
  </si>
  <si>
    <t>Total investment</t>
  </si>
  <si>
    <t>BTH for ETH</t>
  </si>
  <si>
    <t>ETH</t>
  </si>
  <si>
    <t>Actul X-rate</t>
  </si>
  <si>
    <t>Spot rate</t>
  </si>
  <si>
    <t>BTH for BCH</t>
  </si>
  <si>
    <t>BCH</t>
  </si>
  <si>
    <t>Date</t>
  </si>
  <si>
    <t>ABLTF</t>
  </si>
  <si>
    <t>ABSC-RMF</t>
  </si>
  <si>
    <t>KFSMART</t>
  </si>
  <si>
    <t>Aberdeen</t>
  </si>
  <si>
    <t>KF-HCHINAD</t>
  </si>
  <si>
    <t>KFFLEX2RMF</t>
  </si>
  <si>
    <t>KFLTFDIV</t>
  </si>
  <si>
    <t>Krungsri</t>
  </si>
  <si>
    <t>Bualuang</t>
  </si>
  <si>
    <t xml:space="preserve">
K-USXNDQ-A(D)</t>
  </si>
  <si>
    <t xml:space="preserve">
KMSRMF</t>
  </si>
  <si>
    <t>KBLRMF</t>
  </si>
  <si>
    <t>KDLTF</t>
  </si>
  <si>
    <t xml:space="preserve"> </t>
  </si>
  <si>
    <t>KCHINARMF</t>
  </si>
  <si>
    <t>KUSARMF</t>
  </si>
  <si>
    <t>THB</t>
  </si>
  <si>
    <t>ZMT (THB)</t>
  </si>
  <si>
    <t>USDT (THB)</t>
  </si>
  <si>
    <t>ZMT (Buy)</t>
  </si>
  <si>
    <t>ZMT (Yield)</t>
  </si>
  <si>
    <t>USDT (Buy)</t>
  </si>
  <si>
    <t>USDT (Yield)</t>
  </si>
  <si>
    <t>Date\Total</t>
  </si>
  <si>
    <t>% Yield ZMT</t>
  </si>
  <si>
    <t>% Yield USDT</t>
  </si>
  <si>
    <t>ZMT (Net)</t>
  </si>
  <si>
    <t>USDT (Net)</t>
  </si>
  <si>
    <t>Net Yield (THB)</t>
  </si>
  <si>
    <t>%Net Yield (%)</t>
  </si>
  <si>
    <t>USDT Spot rate</t>
  </si>
  <si>
    <t>ZMT Spot rate</t>
  </si>
  <si>
    <t>USDT Value (THB)</t>
  </si>
  <si>
    <t>ZMT Value (THB)</t>
  </si>
  <si>
    <t>KFCHINARMF</t>
  </si>
  <si>
    <t>SCBBLN</t>
  </si>
  <si>
    <t>KFGTECHRMF</t>
  </si>
  <si>
    <t>KFEURORMF</t>
  </si>
  <si>
    <t>K-WORLDX</t>
  </si>
  <si>
    <t>KCHANGERMF</t>
  </si>
  <si>
    <t>K-VIETNAM</t>
  </si>
  <si>
    <t>1M</t>
  </si>
  <si>
    <t>3M</t>
  </si>
  <si>
    <t>6M</t>
  </si>
  <si>
    <t>1Y</t>
  </si>
  <si>
    <t>2W</t>
  </si>
  <si>
    <t>BTC Cost</t>
  </si>
  <si>
    <t>LTC Cost</t>
  </si>
  <si>
    <t>USDC Cost</t>
  </si>
  <si>
    <t>ZMT Cost</t>
  </si>
  <si>
    <t>K-CHX</t>
  </si>
  <si>
    <t>BNB Unit</t>
  </si>
  <si>
    <t>BNB Spent</t>
  </si>
  <si>
    <t>BNB transaction Cost</t>
  </si>
  <si>
    <t>BNB Avg Cost</t>
  </si>
  <si>
    <t>LUNA/BNB Amount</t>
  </si>
  <si>
    <t>LUNA/BNB Price</t>
  </si>
  <si>
    <t>AXS/BNB Price</t>
  </si>
  <si>
    <t>AXS/BNB Amount</t>
  </si>
  <si>
    <t>CAKE/BNB Price</t>
  </si>
  <si>
    <t>CAKE/BNB Amount</t>
  </si>
  <si>
    <t>BUSD Spent</t>
  </si>
  <si>
    <t>BUSD Unit</t>
  </si>
  <si>
    <t>BUSD transaction Cost</t>
  </si>
  <si>
    <t>USDT Spent</t>
  </si>
  <si>
    <t>USDT Unit</t>
  </si>
  <si>
    <t>USDT transaction Cost</t>
  </si>
  <si>
    <t>LUNA/BNB Avg Cost</t>
  </si>
  <si>
    <t>AXS/BNB Avg Cost</t>
  </si>
  <si>
    <t>CAKE/BNB Avg Cost</t>
  </si>
  <si>
    <t>AXS/USDT Price</t>
  </si>
  <si>
    <t>AXS/USDT Amount</t>
  </si>
  <si>
    <t>AXS/USDT Avg Cost</t>
  </si>
  <si>
    <t>CAKE/USDT Price</t>
  </si>
  <si>
    <t>CAKE/USDT Amount</t>
  </si>
  <si>
    <t>CAKE/USDT Avg Cost</t>
  </si>
  <si>
    <t>BNB/USDT Price</t>
  </si>
  <si>
    <t>BNB/USDT Amount</t>
  </si>
  <si>
    <t>BNB/USDT Avg Cost</t>
  </si>
  <si>
    <t>AXS/BUSD Price</t>
  </si>
  <si>
    <t>AXS/BUSD Amount</t>
  </si>
  <si>
    <t>AXS/BUSD Avg Cost</t>
  </si>
  <si>
    <t>USDT Avg Cost</t>
  </si>
  <si>
    <t>BUSD Avg cost</t>
  </si>
  <si>
    <t>CAKE/BUSD Price</t>
  </si>
  <si>
    <t>CAKE/BUSD Amount</t>
  </si>
  <si>
    <t>CAKE/BUSD Avg Cost</t>
  </si>
  <si>
    <t>Total AXS</t>
  </si>
  <si>
    <t>Total THB4AXS</t>
  </si>
  <si>
    <t>THB/AXS Avg Cost</t>
  </si>
  <si>
    <t>K-EUROPE-A(D)</t>
  </si>
  <si>
    <t>B-LTF</t>
  </si>
  <si>
    <t>BLTF75</t>
  </si>
  <si>
    <t>BERMF</t>
  </si>
  <si>
    <t>SCBS&amp;P500</t>
  </si>
  <si>
    <t>SCBRMS&amp;P500</t>
  </si>
  <si>
    <t>TEURMF-A</t>
  </si>
  <si>
    <t>THA</t>
  </si>
  <si>
    <t>Buffer</t>
  </si>
  <si>
    <t>One</t>
  </si>
  <si>
    <t>SCB</t>
  </si>
  <si>
    <t>5000 Total</t>
  </si>
  <si>
    <t>KVIETNAMRMF</t>
  </si>
  <si>
    <t>KSRMF</t>
  </si>
  <si>
    <t>1W</t>
  </si>
  <si>
    <t>3W</t>
  </si>
  <si>
    <t>K-USXNDQ-A(D)</t>
  </si>
  <si>
    <t>Yield</t>
  </si>
  <si>
    <t>Nav</t>
  </si>
  <si>
    <t>M6, M12</t>
  </si>
  <si>
    <t>M3, M6, M9, M12</t>
  </si>
  <si>
    <t>Fund</t>
  </si>
  <si>
    <t>Buy/Sell</t>
  </si>
  <si>
    <t>Amount (THB)</t>
  </si>
  <si>
    <t>Buy</t>
  </si>
  <si>
    <t>Buffer/RMF</t>
  </si>
  <si>
    <t>RMF</t>
  </si>
  <si>
    <t>Unit cost</t>
  </si>
  <si>
    <t>2M</t>
  </si>
  <si>
    <t>Month</t>
  </si>
  <si>
    <t>THA1</t>
  </si>
  <si>
    <t>Asia1</t>
  </si>
  <si>
    <t>Asia2</t>
  </si>
  <si>
    <t>Non-Asia1</t>
  </si>
  <si>
    <t>Non-Asia2</t>
  </si>
  <si>
    <t>Non-Asia3</t>
  </si>
  <si>
    <t>Non-Asia4.1</t>
  </si>
  <si>
    <t>Non-Asia4.2</t>
  </si>
  <si>
    <t>Asia</t>
  </si>
  <si>
    <t>Non-Asia</t>
  </si>
  <si>
    <t>Perf</t>
  </si>
  <si>
    <t>Overall Perf</t>
  </si>
  <si>
    <t>Share</t>
  </si>
  <si>
    <t>KFGBRANRMF</t>
  </si>
  <si>
    <t>Budget</t>
  </si>
  <si>
    <t>%Allot_Today</t>
  </si>
  <si>
    <t>%Allot_Act</t>
  </si>
  <si>
    <t>%Allot_Tgt</t>
  </si>
  <si>
    <t>%Per</t>
  </si>
  <si>
    <t>Kbank</t>
  </si>
  <si>
    <t>Finno</t>
  </si>
  <si>
    <t>Switch-Out</t>
  </si>
  <si>
    <t>Switch-In</t>
  </si>
  <si>
    <t>BGOLDRMF</t>
  </si>
  <si>
    <t>KGDRMF</t>
  </si>
  <si>
    <t>KT-GOLD RMF</t>
  </si>
  <si>
    <t>ABAGS</t>
  </si>
  <si>
    <t>ABGDD-RMF</t>
  </si>
  <si>
    <t>MEGA10CHINA-A</t>
  </si>
  <si>
    <t>ASP-USSMALL-A</t>
  </si>
  <si>
    <t>TLMSEQ-A</t>
  </si>
  <si>
    <t>Sell</t>
  </si>
  <si>
    <t>KDLTF-C(L)</t>
  </si>
  <si>
    <t>K70LTF-C(L)</t>
  </si>
  <si>
    <t>KMSRMF</t>
  </si>
  <si>
    <t>RE</t>
  </si>
  <si>
    <t>SCBGOLDHE</t>
  </si>
  <si>
    <t>KFGOLDRMF</t>
  </si>
  <si>
    <t>BuaLuang</t>
  </si>
  <si>
    <t>Finnomena</t>
  </si>
  <si>
    <t>KF-GOLD</t>
  </si>
  <si>
    <t>Values</t>
  </si>
  <si>
    <t>K-CHANGERMF</t>
  </si>
  <si>
    <t>K-CHINARMF</t>
  </si>
  <si>
    <t>K-BLRMF</t>
  </si>
  <si>
    <t>K-GDRMF</t>
  </si>
  <si>
    <t>1-M diff</t>
  </si>
  <si>
    <t>KF-GCHINARMF</t>
  </si>
  <si>
    <t>K-VIETNAMRMF</t>
  </si>
  <si>
    <t>KF-GTECHRMF</t>
  </si>
  <si>
    <t>%Cont</t>
  </si>
  <si>
    <t>%Gold</t>
  </si>
  <si>
    <t>KT-BLOCKCHAIN-A</t>
  </si>
  <si>
    <t>Wk19</t>
  </si>
  <si>
    <t>Wk18</t>
  </si>
  <si>
    <t>B-INNOTECHRMF</t>
  </si>
  <si>
    <t>BFGOLDRMF</t>
  </si>
  <si>
    <t>RMFBINNOTECH</t>
  </si>
  <si>
    <t>K-70ThaiESGX-L</t>
  </si>
  <si>
    <t>ESGXBMDIV-SW</t>
  </si>
  <si>
    <t>KFAFIXRMF</t>
  </si>
  <si>
    <t>TCHRMF</t>
  </si>
  <si>
    <t>DAOL-GOLDRMF</t>
  </si>
  <si>
    <t>Tisco</t>
  </si>
  <si>
    <t>K-HDThaiESGX-68</t>
  </si>
  <si>
    <t>ES-EGRMF</t>
  </si>
  <si>
    <t>KKP TECH RMF-H</t>
  </si>
  <si>
    <t>KKP</t>
  </si>
  <si>
    <t>SCBRMJP</t>
  </si>
  <si>
    <t>TDSThaiESG-A</t>
  </si>
  <si>
    <t>ESG</t>
  </si>
  <si>
    <t>wk01</t>
  </si>
  <si>
    <t>wk02</t>
  </si>
  <si>
    <t>wk03</t>
  </si>
  <si>
    <t>wk04</t>
  </si>
  <si>
    <t>wk05</t>
  </si>
  <si>
    <t>wk06</t>
  </si>
  <si>
    <t>wk07</t>
  </si>
  <si>
    <t>MATECH-D</t>
  </si>
  <si>
    <t>wk08</t>
  </si>
  <si>
    <t>wk09</t>
  </si>
  <si>
    <t>wk10</t>
  </si>
  <si>
    <t>wk11</t>
  </si>
  <si>
    <t>wk12</t>
  </si>
  <si>
    <t>MATECH-A</t>
  </si>
  <si>
    <t>K-USXNDQ-A(A)</t>
  </si>
  <si>
    <t>wk13</t>
  </si>
  <si>
    <t>SCBAUD</t>
  </si>
  <si>
    <t>wk14</t>
  </si>
  <si>
    <t>wk15</t>
  </si>
  <si>
    <t>wk16</t>
  </si>
  <si>
    <t>wk17</t>
  </si>
  <si>
    <t>wk18</t>
  </si>
  <si>
    <t>wk19</t>
  </si>
  <si>
    <t>wk20</t>
  </si>
  <si>
    <t>wk21</t>
  </si>
  <si>
    <t>wk22</t>
  </si>
  <si>
    <t>wk23</t>
  </si>
  <si>
    <t>wk24</t>
  </si>
  <si>
    <t>wk25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</si>
</sst>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B1d\-mmm\-yy"/>
    <numFmt numFmtId="165" formatCode="0.0000"/>
    <numFmt numFmtId="166" formatCode="_(* #,##0.0000_);_(* \(#,##0.0000\);_(* &quot;-&quot;??_);_(@_)"/>
    <numFmt numFmtId="167" formatCode="#,##0.0000"/>
  </numFmts>
  <fonts count="10">
    <font>
      <sz val="11"/>
      <color theme="1"/>
      <name val="Calibri"/>
      <family val="2"/>
      <charset val="222"/>
      <scheme val="minor"/>
    </font>
    <font>
      <b/>
      <sz val="10"/>
      <color rgb="FF333333"/>
      <name val="Calibri"/>
      <family val="2"/>
      <charset val="1"/>
      <scheme val="minor"/>
    </font>
    <font>
      <sz val="11"/>
      <color rgb="FF333333"/>
      <name val="Calibri"/>
      <family val="2"/>
      <charset val="1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charset val="222"/>
      <scheme val="minor"/>
    </font>
    <font>
      <sz val="11"/>
      <color rgb="FFFF0000"/>
      <name val="Calibri"/>
      <family val="2"/>
      <charset val="222"/>
      <scheme val="minor"/>
    </font>
    <font>
      <b/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</cellStyleXfs>
  <cellXfs count="56">
    <xf numFmtId="0" fontId="0" fillId="0" borderId="0" xfId="0"/>
    <xf numFmtId="164" fontId="0" fillId="0" borderId="0" xfId="0" applyNumberFormat="1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14" fontId="0" fillId="0" borderId="0" xfId="0" applyNumberFormat="1"/>
    <xf numFmtId="0" fontId="0" fillId="2" borderId="0" xfId="0" applyFill="1"/>
    <xf numFmtId="0" fontId="0" fillId="3" borderId="0" xfId="0" applyFill="1" applyAlignment="1">
      <alignment wrapText="1"/>
    </xf>
    <xf numFmtId="0" fontId="0" fillId="3" borderId="0" xfId="0" applyFill="1"/>
    <xf numFmtId="0" fontId="0" fillId="4" borderId="0" xfId="0" applyFill="1"/>
    <xf numFmtId="0" fontId="0" fillId="4" borderId="0" xfId="0" applyFill="1" applyAlignment="1">
      <alignment wrapText="1"/>
    </xf>
    <xf numFmtId="0" fontId="0" fillId="0" borderId="0" xfId="1" applyNumberFormat="1" applyFont="1"/>
    <xf numFmtId="0" fontId="0" fillId="5" borderId="0" xfId="0" applyFill="1"/>
    <xf numFmtId="4" fontId="0" fillId="0" borderId="0" xfId="0" applyNumberFormat="1"/>
    <xf numFmtId="9" fontId="0" fillId="0" borderId="0" xfId="1" applyFont="1"/>
    <xf numFmtId="165" fontId="0" fillId="0" borderId="0" xfId="0" applyNumberFormat="1"/>
    <xf numFmtId="10" fontId="0" fillId="0" borderId="0" xfId="1" applyNumberFormat="1" applyFont="1"/>
    <xf numFmtId="2" fontId="0" fillId="0" borderId="0" xfId="0" applyNumberFormat="1"/>
    <xf numFmtId="15" fontId="0" fillId="0" borderId="0" xfId="0" applyNumberFormat="1"/>
    <xf numFmtId="0" fontId="0" fillId="6" borderId="0" xfId="0" applyFill="1"/>
    <xf numFmtId="10" fontId="0" fillId="0" borderId="0" xfId="1" applyNumberFormat="1" applyFont="1" applyFill="1"/>
    <xf numFmtId="43" fontId="0" fillId="0" borderId="0" xfId="2" applyFont="1"/>
    <xf numFmtId="43" fontId="0" fillId="0" borderId="0" xfId="1" applyNumberFormat="1" applyFont="1"/>
    <xf numFmtId="166" fontId="0" fillId="0" borderId="0" xfId="2" applyNumberFormat="1" applyFont="1"/>
    <xf numFmtId="0" fontId="0" fillId="7" borderId="0" xfId="0" applyFill="1"/>
    <xf numFmtId="0" fontId="0" fillId="8" borderId="0" xfId="0" applyFill="1"/>
    <xf numFmtId="43" fontId="0" fillId="0" borderId="0" xfId="0" applyNumberFormat="1"/>
    <xf numFmtId="166" fontId="0" fillId="0" borderId="0" xfId="0" applyNumberFormat="1"/>
    <xf numFmtId="0" fontId="0" fillId="0" borderId="0" xfId="0" applyAlignment="1">
      <alignment horizontal="center"/>
    </xf>
    <xf numFmtId="0" fontId="0" fillId="9" borderId="0" xfId="0" applyFill="1"/>
    <xf numFmtId="0" fontId="0" fillId="10" borderId="0" xfId="0" applyFill="1"/>
    <xf numFmtId="0" fontId="0" fillId="11" borderId="0" xfId="0" applyFill="1" applyAlignment="1">
      <alignment horizontal="center"/>
    </xf>
    <xf numFmtId="0" fontId="0" fillId="11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9" fontId="0" fillId="0" borderId="0" xfId="1" applyFont="1" applyAlignment="1">
      <alignment horizontal="left"/>
    </xf>
    <xf numFmtId="0" fontId="0" fillId="2" borderId="0" xfId="0" applyFill="1" applyAlignment="1">
      <alignment horizontal="left"/>
    </xf>
    <xf numFmtId="9" fontId="0" fillId="12" borderId="0" xfId="1" applyFont="1" applyFill="1"/>
    <xf numFmtId="9" fontId="0" fillId="0" borderId="0" xfId="0" applyNumberFormat="1"/>
    <xf numFmtId="9" fontId="0" fillId="0" borderId="0" xfId="1" applyFont="1" applyFill="1"/>
    <xf numFmtId="0" fontId="6" fillId="4" borderId="0" xfId="0" applyFont="1" applyFill="1" applyAlignment="1">
      <alignment wrapText="1"/>
    </xf>
    <xf numFmtId="0" fontId="7" fillId="4" borderId="0" xfId="0" applyFont="1" applyFill="1" applyAlignment="1">
      <alignment wrapText="1"/>
    </xf>
    <xf numFmtId="0" fontId="6" fillId="2" borderId="0" xfId="0" applyFont="1" applyFill="1"/>
    <xf numFmtId="0" fontId="0" fillId="13" borderId="0" xfId="0" applyFill="1"/>
    <xf numFmtId="0" fontId="0" fillId="14" borderId="0" xfId="0" applyFill="1"/>
    <xf numFmtId="167" fontId="0" fillId="0" borderId="0" xfId="0" applyNumberFormat="1"/>
    <xf numFmtId="0" fontId="8" fillId="15" borderId="0" xfId="0" applyFont="1" applyFill="1"/>
    <xf numFmtId="10" fontId="0" fillId="0" borderId="0" xfId="0" applyNumberFormat="1"/>
    <xf numFmtId="0" fontId="9" fillId="8" borderId="0" xfId="0" applyFont="1" applyFill="1"/>
    <xf numFmtId="43" fontId="0" fillId="7" borderId="0" xfId="2" applyFont="1" applyFill="1"/>
    <xf numFmtId="43" fontId="0" fillId="2" borderId="0" xfId="2" applyFont="1" applyFill="1"/>
    <xf numFmtId="0" fontId="6" fillId="0" borderId="0" xfId="0" applyFont="1"/>
    <xf numFmtId="10" fontId="0" fillId="4" borderId="0" xfId="1" applyNumberFormat="1" applyFont="1" applyFill="1"/>
    <xf numFmtId="10" fontId="0" fillId="7" borderId="0" xfId="1" applyNumberFormat="1" applyFont="1" applyFill="1"/>
    <xf numFmtId="0" fontId="0" fillId="16" borderId="0" xfId="0" applyFill="1"/>
    <xf numFmtId="0" fontId="9" fillId="0" borderId="0" xfId="0" applyFont="1"/>
    <xf numFmtId="0" fontId="0" fillId="0" borderId="0" xfId="0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5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375 375" id="{13BF3C52-C134-4B3E-B2EC-E52DE8200F0B}" userId="375 375" providerId="None"/>
  <person displayName="hpnoks" id="{F4F5DA8F-0495-448E-9BCE-0C41398F9127}" userId="S::hpnoks@kfc8.onmicrosoft.com::5355f718-ccb7-436f-9e14-c2bd0432693a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60" dT="2021-10-20T11:02:40.63" personId="{13BF3C52-C134-4B3E-B2EC-E52DE8200F0B}" id="{89C8880F-CC44-449F-8C79-15147BFEF6B0}">
    <text>Loan of 50K with interest of 3750THB</text>
  </threadedComment>
  <threadedComment ref="B162" dT="2021-11-08T03:28:55.39" personId="{13BF3C52-C134-4B3E-B2EC-E52DE8200F0B}" id="{D0D35B92-CE9B-45D4-AEF4-8686CAD318C5}">
    <text>Loan from Tan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160" dT="2021-10-20T11:02:40.63" personId="{13BF3C52-C134-4B3E-B2EC-E52DE8200F0B}" id="{B1C1A7B2-4F3D-4CC7-BAB9-87BDFF483C4A}">
    <text>Loan of 50K with interest of 3750THB</text>
  </threadedComment>
  <threadedComment ref="B162" dT="2021-11-08T03:28:55.39" personId="{13BF3C52-C134-4B3E-B2EC-E52DE8200F0B}" id="{306D662D-DA77-424F-80FA-3288A07052C3}">
    <text>Loan from Tan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D99" dT="2024-08-17T04:57:36.49" personId="{F4F5DA8F-0495-448E-9BCE-0C41398F9127}" id="{EEC05309-0697-4DA7-B3F1-6DD97EFCABF3}">
    <text>Switch out to KFGTECHRMF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8"/>
  <sheetViews>
    <sheetView zoomScale="80" zoomScaleNormal="80" workbookViewId="0">
      <selection activeCell="L21" sqref="L21"/>
    </sheetView>
  </sheetViews>
  <sheetFormatPr defaultRowHeight="14.5"/>
  <cols>
    <col min="1" max="1" width="9.36328125" bestFit="1" customWidth="1"/>
    <col min="2" max="2" width="10.90625" bestFit="1" customWidth="1"/>
    <col min="3" max="3" width="11.453125" bestFit="1" customWidth="1"/>
    <col min="4" max="4" width="11.26953125" bestFit="1" customWidth="1"/>
    <col min="5" max="5" width="11.453125" bestFit="1" customWidth="1"/>
    <col min="6" max="7" width="10.90625" customWidth="1"/>
    <col min="8" max="8" width="11.26953125" bestFit="1" customWidth="1"/>
    <col min="9" max="10" width="11.26953125" customWidth="1"/>
    <col min="11" max="11" width="11.90625" bestFit="1" customWidth="1"/>
    <col min="12" max="12" width="14.7265625" bestFit="1" customWidth="1"/>
    <col min="13" max="13" width="8.36328125" bestFit="1" customWidth="1"/>
  </cols>
  <sheetData>
    <row r="1" spans="1:14">
      <c r="B1" t="s">
        <v>1</v>
      </c>
      <c r="C1" t="s">
        <v>2</v>
      </c>
      <c r="D1" t="s">
        <v>0</v>
      </c>
      <c r="E1" t="s">
        <v>4</v>
      </c>
      <c r="F1" t="s">
        <v>5</v>
      </c>
      <c r="G1" t="s">
        <v>8</v>
      </c>
      <c r="H1" t="s">
        <v>9</v>
      </c>
      <c r="K1" t="s">
        <v>6</v>
      </c>
      <c r="L1" t="s">
        <v>3</v>
      </c>
      <c r="M1" t="s">
        <v>7</v>
      </c>
    </row>
    <row r="2" spans="1:14">
      <c r="A2" s="1">
        <v>42907</v>
      </c>
      <c r="B2">
        <f>99500-C2</f>
        <v>49500</v>
      </c>
      <c r="C2">
        <v>50000</v>
      </c>
      <c r="D2" s="2">
        <v>0.51769315999999999</v>
      </c>
      <c r="E2" s="2"/>
      <c r="F2" s="2"/>
      <c r="G2" s="2"/>
      <c r="H2" s="2"/>
      <c r="I2" s="2"/>
      <c r="J2" s="2"/>
      <c r="K2">
        <f>C2/D2</f>
        <v>96582.307558400047</v>
      </c>
      <c r="L2">
        <f>C2+B29+E2</f>
        <v>55587.6514473762</v>
      </c>
      <c r="M2">
        <v>96100</v>
      </c>
    </row>
    <row r="3" spans="1:14">
      <c r="A3" s="1">
        <v>42911</v>
      </c>
      <c r="B3">
        <v>98712.960000000006</v>
      </c>
      <c r="D3">
        <v>2.34E-6</v>
      </c>
      <c r="L3">
        <f>C3+B3+E3</f>
        <v>98712.960000000006</v>
      </c>
    </row>
    <row r="4" spans="1:14">
      <c r="A4" s="1">
        <v>42914</v>
      </c>
      <c r="B4">
        <v>832.97</v>
      </c>
      <c r="D4" s="3">
        <v>4.7817681199999997</v>
      </c>
      <c r="K4">
        <f>E4/D4</f>
        <v>0</v>
      </c>
      <c r="L4">
        <f>C4+B4+E4</f>
        <v>832.97</v>
      </c>
      <c r="M4">
        <v>9988</v>
      </c>
      <c r="N4">
        <v>7150.01</v>
      </c>
    </row>
    <row r="5" spans="1:14">
      <c r="A5" s="1">
        <v>43147</v>
      </c>
      <c r="B5">
        <f t="shared" ref="B5:B10" si="0">G5*H5+C5*D5+E5*F5</f>
        <v>67638.803103899991</v>
      </c>
      <c r="C5">
        <v>318690</v>
      </c>
      <c r="D5">
        <v>2.34E-6</v>
      </c>
      <c r="E5">
        <v>29520</v>
      </c>
      <c r="F5">
        <v>2.2912583799999999</v>
      </c>
      <c r="G5">
        <v>47005</v>
      </c>
      <c r="H5">
        <v>2.34E-6</v>
      </c>
    </row>
    <row r="6" spans="1:14">
      <c r="A6" s="4">
        <v>43155</v>
      </c>
      <c r="B6">
        <f t="shared" si="0"/>
        <v>63672.644933520001</v>
      </c>
      <c r="C6">
        <v>323000</v>
      </c>
      <c r="D6">
        <v>2.34E-6</v>
      </c>
      <c r="E6">
        <v>27789</v>
      </c>
      <c r="F6">
        <v>2.2912583799999999</v>
      </c>
      <c r="G6">
        <v>47005</v>
      </c>
      <c r="H6">
        <v>2.34E-6</v>
      </c>
    </row>
    <row r="7" spans="1:14">
      <c r="A7" s="4">
        <v>43421</v>
      </c>
      <c r="B7">
        <f t="shared" si="0"/>
        <v>6236.9899670034001</v>
      </c>
      <c r="C7">
        <v>181000.01</v>
      </c>
      <c r="D7">
        <v>2.34E-6</v>
      </c>
      <c r="E7">
        <v>5715</v>
      </c>
      <c r="F7">
        <v>1.09125838</v>
      </c>
      <c r="G7">
        <v>10592</v>
      </c>
      <c r="H7">
        <v>2.34E-6</v>
      </c>
    </row>
    <row r="8" spans="1:14">
      <c r="A8" s="4">
        <v>43436</v>
      </c>
      <c r="B8">
        <f t="shared" si="0"/>
        <v>4138.3816724999997</v>
      </c>
      <c r="C8">
        <v>135380</v>
      </c>
      <c r="D8">
        <v>2.34E-6</v>
      </c>
      <c r="E8">
        <v>3792</v>
      </c>
      <c r="F8">
        <v>1.09125838</v>
      </c>
      <c r="G8">
        <v>5601</v>
      </c>
      <c r="H8">
        <v>2.34E-6</v>
      </c>
    </row>
    <row r="9" spans="1:14">
      <c r="A9" s="4">
        <v>43443</v>
      </c>
      <c r="B9">
        <f t="shared" si="0"/>
        <v>3248.9460039399996</v>
      </c>
      <c r="C9">
        <v>112002</v>
      </c>
      <c r="D9">
        <v>2.34E-6</v>
      </c>
      <c r="E9">
        <v>2977</v>
      </c>
      <c r="F9">
        <v>1.09125838</v>
      </c>
      <c r="G9">
        <v>3300</v>
      </c>
      <c r="H9">
        <v>2.34E-6</v>
      </c>
    </row>
    <row r="10" spans="1:14">
      <c r="A10" s="4">
        <v>43449</v>
      </c>
      <c r="B10">
        <f t="shared" si="0"/>
        <v>3021.5441837911999</v>
      </c>
      <c r="C10">
        <v>105754.27</v>
      </c>
      <c r="D10">
        <v>2.34E-6</v>
      </c>
      <c r="E10">
        <v>2768.63</v>
      </c>
      <c r="F10">
        <v>1.09125838</v>
      </c>
      <c r="G10">
        <v>2577</v>
      </c>
      <c r="H10">
        <v>2.34E-6</v>
      </c>
    </row>
    <row r="11" spans="1:14">
      <c r="A11" s="4">
        <v>43456</v>
      </c>
      <c r="B11">
        <f t="shared" ref="B11:B47" si="1">G11*H11+C11*D11+E11*F11</f>
        <v>3797.9070361675999</v>
      </c>
      <c r="C11">
        <v>124540</v>
      </c>
      <c r="D11">
        <v>2.34E-6</v>
      </c>
      <c r="E11">
        <v>3480.02</v>
      </c>
      <c r="F11">
        <v>1.09125838</v>
      </c>
      <c r="G11">
        <v>6250</v>
      </c>
      <c r="H11">
        <v>2.34E-6</v>
      </c>
    </row>
    <row r="12" spans="1:14">
      <c r="A12" s="4">
        <v>43462</v>
      </c>
      <c r="B12">
        <f t="shared" si="1"/>
        <v>4136.1587182000003</v>
      </c>
      <c r="C12">
        <v>118750</v>
      </c>
      <c r="D12">
        <v>2.34E-6</v>
      </c>
      <c r="E12">
        <v>3790</v>
      </c>
      <c r="F12">
        <v>1.09125838</v>
      </c>
      <c r="G12">
        <v>4950</v>
      </c>
      <c r="H12">
        <v>2.34E-6</v>
      </c>
    </row>
    <row r="13" spans="1:14">
      <c r="A13" s="4">
        <v>43470</v>
      </c>
      <c r="B13">
        <f t="shared" si="1"/>
        <v>5444.5842316200005</v>
      </c>
      <c r="C13">
        <v>121500</v>
      </c>
      <c r="D13">
        <v>2.34E-6</v>
      </c>
      <c r="E13">
        <v>4989</v>
      </c>
      <c r="F13">
        <v>1.09125838</v>
      </c>
      <c r="G13">
        <v>5070</v>
      </c>
      <c r="H13">
        <v>2.34E-6</v>
      </c>
    </row>
    <row r="14" spans="1:14">
      <c r="A14" s="4">
        <v>43476</v>
      </c>
      <c r="B14">
        <f t="shared" si="1"/>
        <v>4473.3564912352003</v>
      </c>
      <c r="C14">
        <v>119000</v>
      </c>
      <c r="D14">
        <v>2.34E-6</v>
      </c>
      <c r="E14">
        <v>4099</v>
      </c>
      <c r="F14">
        <v>1.09125838</v>
      </c>
      <c r="G14">
        <v>4244.28</v>
      </c>
      <c r="H14">
        <v>2.34E-6</v>
      </c>
    </row>
    <row r="15" spans="1:14">
      <c r="A15" s="4">
        <v>43485</v>
      </c>
      <c r="B15">
        <f t="shared" si="1"/>
        <v>4272.5611017000001</v>
      </c>
      <c r="C15">
        <v>117500</v>
      </c>
      <c r="D15">
        <v>2.34E-6</v>
      </c>
      <c r="E15">
        <v>3915</v>
      </c>
      <c r="F15">
        <v>1.09125838</v>
      </c>
      <c r="G15">
        <v>4100</v>
      </c>
      <c r="H15">
        <v>2.34E-6</v>
      </c>
    </row>
    <row r="16" spans="1:14">
      <c r="A16" s="4">
        <v>43491</v>
      </c>
      <c r="B16">
        <f t="shared" si="1"/>
        <v>3962.0868629299998</v>
      </c>
      <c r="C16">
        <v>112813</v>
      </c>
      <c r="D16">
        <v>2.34E-6</v>
      </c>
      <c r="E16">
        <v>3630.5</v>
      </c>
      <c r="F16">
        <v>1.09125838</v>
      </c>
      <c r="G16">
        <v>3988</v>
      </c>
      <c r="H16">
        <v>2.34E-6</v>
      </c>
    </row>
    <row r="17" spans="1:8">
      <c r="A17" s="4">
        <v>43498</v>
      </c>
      <c r="B17">
        <f t="shared" si="1"/>
        <v>3634.1504004600001</v>
      </c>
      <c r="C17">
        <v>107499</v>
      </c>
      <c r="D17">
        <v>2.34E-6</v>
      </c>
      <c r="E17">
        <v>3330</v>
      </c>
      <c r="F17">
        <v>1.09125838</v>
      </c>
      <c r="G17">
        <v>3610</v>
      </c>
      <c r="H17">
        <v>2.34E-6</v>
      </c>
    </row>
    <row r="18" spans="1:8">
      <c r="A18" s="4">
        <v>43505</v>
      </c>
      <c r="B18">
        <f t="shared" si="1"/>
        <v>3934.2571909267999</v>
      </c>
      <c r="C18">
        <v>111800</v>
      </c>
      <c r="D18">
        <v>2.34E-6</v>
      </c>
      <c r="E18">
        <v>3605</v>
      </c>
      <c r="F18">
        <v>1.09125838</v>
      </c>
      <c r="G18">
        <v>3897.02</v>
      </c>
      <c r="H18">
        <v>2.34E-6</v>
      </c>
    </row>
    <row r="19" spans="1:8">
      <c r="A19" s="4">
        <v>43512</v>
      </c>
      <c r="B19">
        <f t="shared" si="1"/>
        <v>4116.4985384199999</v>
      </c>
      <c r="C19">
        <v>112410</v>
      </c>
      <c r="D19">
        <v>2.34E-6</v>
      </c>
      <c r="E19">
        <v>3772</v>
      </c>
      <c r="F19">
        <v>1.09125838</v>
      </c>
      <c r="G19">
        <v>3799</v>
      </c>
      <c r="H19">
        <v>2.34E-6</v>
      </c>
    </row>
    <row r="20" spans="1:8">
      <c r="A20" s="4">
        <v>43519</v>
      </c>
      <c r="B20">
        <f t="shared" si="1"/>
        <v>5036.4566956599992</v>
      </c>
      <c r="C20">
        <v>123449</v>
      </c>
      <c r="D20">
        <v>2.34E-6</v>
      </c>
      <c r="E20">
        <v>4615</v>
      </c>
      <c r="F20">
        <v>1.09125838</v>
      </c>
      <c r="G20">
        <v>4445</v>
      </c>
      <c r="H20">
        <v>2.34E-6</v>
      </c>
    </row>
    <row r="21" spans="1:8">
      <c r="A21" s="4">
        <v>43499</v>
      </c>
      <c r="B21">
        <f t="shared" si="1"/>
        <v>4590.124914</v>
      </c>
      <c r="C21">
        <v>120688</v>
      </c>
      <c r="D21">
        <v>2.34E-6</v>
      </c>
      <c r="E21">
        <v>4206</v>
      </c>
      <c r="F21">
        <v>1.09125838</v>
      </c>
      <c r="G21">
        <v>4170</v>
      </c>
      <c r="H21">
        <v>2.34E-6</v>
      </c>
    </row>
    <row r="22" spans="1:8">
      <c r="A22" s="4">
        <v>43533</v>
      </c>
      <c r="B22">
        <f t="shared" si="1"/>
        <v>4597.7662779399998</v>
      </c>
      <c r="C22">
        <v>121900</v>
      </c>
      <c r="D22">
        <v>2.34E-6</v>
      </c>
      <c r="E22">
        <v>4213</v>
      </c>
      <c r="F22">
        <v>1.09125838</v>
      </c>
      <c r="G22">
        <v>4050</v>
      </c>
      <c r="H22">
        <v>2.34E-6</v>
      </c>
    </row>
    <row r="23" spans="1:8">
      <c r="A23" s="4">
        <v>43540</v>
      </c>
      <c r="B23">
        <f t="shared" si="1"/>
        <v>4790.9257036935996</v>
      </c>
      <c r="C23">
        <v>124000</v>
      </c>
      <c r="D23">
        <v>2.34E-6</v>
      </c>
      <c r="E23">
        <v>4390</v>
      </c>
      <c r="F23">
        <v>1.09125838</v>
      </c>
      <c r="G23">
        <v>4810.04</v>
      </c>
      <c r="H23">
        <v>2.34E-6</v>
      </c>
    </row>
    <row r="24" spans="1:8">
      <c r="A24" s="4">
        <v>43547</v>
      </c>
      <c r="B24">
        <f t="shared" si="1"/>
        <v>4709.08995736</v>
      </c>
      <c r="C24">
        <v>127299</v>
      </c>
      <c r="D24">
        <v>2.34E-6</v>
      </c>
      <c r="E24">
        <v>4315</v>
      </c>
      <c r="F24">
        <v>1.09125838</v>
      </c>
      <c r="G24">
        <v>5200</v>
      </c>
      <c r="H24">
        <v>2.34E-6</v>
      </c>
    </row>
    <row r="25" spans="1:8">
      <c r="A25" s="4">
        <v>43554</v>
      </c>
      <c r="B25">
        <f t="shared" si="1"/>
        <v>4856.4161847400001</v>
      </c>
      <c r="C25">
        <v>129980</v>
      </c>
      <c r="D25">
        <v>2.34E-6</v>
      </c>
      <c r="E25">
        <v>4450</v>
      </c>
      <c r="F25">
        <v>1.09125838</v>
      </c>
      <c r="G25">
        <v>5231</v>
      </c>
      <c r="H25">
        <v>2.34E-6</v>
      </c>
    </row>
    <row r="26" spans="1:8">
      <c r="A26" s="4">
        <v>43561</v>
      </c>
      <c r="B26">
        <f t="shared" si="1"/>
        <v>5715.8600786500001</v>
      </c>
      <c r="C26">
        <v>159300</v>
      </c>
      <c r="D26">
        <v>2.34E-6</v>
      </c>
      <c r="E26">
        <v>5237.5</v>
      </c>
      <c r="F26">
        <v>1.09125838</v>
      </c>
      <c r="G26">
        <v>9210</v>
      </c>
      <c r="H26">
        <v>2.34E-6</v>
      </c>
    </row>
    <row r="27" spans="1:8">
      <c r="A27" s="4">
        <v>43569</v>
      </c>
      <c r="B27">
        <f t="shared" si="1"/>
        <v>5762.2496631000004</v>
      </c>
      <c r="C27">
        <v>164300</v>
      </c>
      <c r="D27">
        <v>2.34E-6</v>
      </c>
      <c r="E27">
        <v>5280</v>
      </c>
      <c r="F27">
        <v>1.09125838</v>
      </c>
      <c r="G27">
        <v>8955</v>
      </c>
      <c r="H27">
        <v>2.34E-6</v>
      </c>
    </row>
    <row r="28" spans="1:8">
      <c r="A28" s="4">
        <v>43575</v>
      </c>
      <c r="B28">
        <f t="shared" si="1"/>
        <v>6002.3358550000003</v>
      </c>
      <c r="C28">
        <v>167500</v>
      </c>
      <c r="D28">
        <v>2.34E-6</v>
      </c>
      <c r="E28">
        <v>5500</v>
      </c>
      <c r="F28">
        <v>1.09125838</v>
      </c>
      <c r="G28">
        <v>9750</v>
      </c>
      <c r="H28">
        <v>2.34E-6</v>
      </c>
    </row>
    <row r="29" spans="1:8">
      <c r="A29" s="4">
        <v>43583</v>
      </c>
      <c r="B29">
        <f t="shared" si="1"/>
        <v>5587.651447376199</v>
      </c>
      <c r="C29">
        <v>170680</v>
      </c>
      <c r="D29">
        <v>2.34E-6</v>
      </c>
      <c r="E29">
        <v>5119.99</v>
      </c>
      <c r="F29">
        <v>1.09125838</v>
      </c>
      <c r="G29">
        <v>8574</v>
      </c>
      <c r="H29">
        <v>2.34E-6</v>
      </c>
    </row>
    <row r="30" spans="1:8">
      <c r="A30" s="4">
        <v>43589</v>
      </c>
      <c r="B30">
        <f t="shared" si="1"/>
        <v>5664.0713778600002</v>
      </c>
      <c r="C30">
        <v>178899</v>
      </c>
      <c r="D30">
        <v>2.34E-6</v>
      </c>
      <c r="E30">
        <v>5190</v>
      </c>
      <c r="F30">
        <v>1.09125838</v>
      </c>
      <c r="G30">
        <v>9300</v>
      </c>
      <c r="H30">
        <v>2.34E-6</v>
      </c>
    </row>
    <row r="31" spans="1:8">
      <c r="A31" s="4">
        <v>43596</v>
      </c>
      <c r="B31">
        <f t="shared" si="1"/>
        <v>6062.4473554999995</v>
      </c>
      <c r="C31">
        <v>207500</v>
      </c>
      <c r="D31">
        <v>2.34E-6</v>
      </c>
      <c r="E31">
        <v>5555</v>
      </c>
      <c r="F31">
        <v>1.09125838</v>
      </c>
      <c r="G31">
        <v>9190</v>
      </c>
      <c r="H31">
        <v>2.34E-6</v>
      </c>
    </row>
    <row r="32" spans="1:8">
      <c r="A32" s="4">
        <v>43603</v>
      </c>
      <c r="B32">
        <f t="shared" si="1"/>
        <v>8512.3941583199994</v>
      </c>
      <c r="C32">
        <v>235499</v>
      </c>
      <c r="D32">
        <v>2.34E-6</v>
      </c>
      <c r="E32">
        <v>7800</v>
      </c>
      <c r="F32">
        <v>1.09125838</v>
      </c>
      <c r="G32">
        <v>11849</v>
      </c>
      <c r="H32">
        <v>2.34E-6</v>
      </c>
    </row>
    <row r="33" spans="1:8">
      <c r="A33" s="4">
        <v>43611</v>
      </c>
      <c r="B33">
        <f t="shared" si="1"/>
        <v>8621.5643744200006</v>
      </c>
      <c r="C33">
        <v>253553</v>
      </c>
      <c r="D33">
        <v>2.34E-6</v>
      </c>
      <c r="E33">
        <v>7900</v>
      </c>
      <c r="F33">
        <v>1.09125838</v>
      </c>
      <c r="G33">
        <v>12760</v>
      </c>
      <c r="H33">
        <v>2.34E-6</v>
      </c>
    </row>
    <row r="34" spans="1:8">
      <c r="A34" s="4">
        <v>43617</v>
      </c>
      <c r="B34">
        <f t="shared" si="1"/>
        <v>9518.6352644199997</v>
      </c>
      <c r="C34">
        <v>276249</v>
      </c>
      <c r="D34">
        <v>2.34E-6</v>
      </c>
      <c r="E34">
        <v>8722</v>
      </c>
      <c r="F34">
        <v>1.09125838</v>
      </c>
      <c r="G34">
        <v>14210</v>
      </c>
      <c r="H34">
        <v>2.34E-6</v>
      </c>
    </row>
    <row r="35" spans="1:8">
      <c r="A35" s="4">
        <v>43624</v>
      </c>
      <c r="B35">
        <f t="shared" si="1"/>
        <v>8813.6368203900001</v>
      </c>
      <c r="C35">
        <v>258101</v>
      </c>
      <c r="D35">
        <v>2.34E-6</v>
      </c>
      <c r="E35">
        <v>8076</v>
      </c>
      <c r="F35">
        <v>1.09125838</v>
      </c>
      <c r="G35">
        <v>12900.5</v>
      </c>
      <c r="H35">
        <v>2.34E-6</v>
      </c>
    </row>
    <row r="36" spans="1:8">
      <c r="A36" s="4">
        <v>43631</v>
      </c>
      <c r="B36">
        <f t="shared" si="1"/>
        <v>9079.9358025999991</v>
      </c>
      <c r="C36">
        <v>271400</v>
      </c>
      <c r="D36">
        <v>2.34E-6</v>
      </c>
      <c r="E36">
        <v>8320</v>
      </c>
      <c r="F36">
        <v>1.09125838</v>
      </c>
      <c r="G36">
        <v>13250</v>
      </c>
      <c r="H36">
        <v>2.34E-6</v>
      </c>
    </row>
    <row r="37" spans="1:8">
      <c r="A37" s="4">
        <v>43638</v>
      </c>
      <c r="B37">
        <f t="shared" si="1"/>
        <v>10264.101019559999</v>
      </c>
      <c r="C37">
        <v>334999</v>
      </c>
      <c r="D37">
        <v>2.34E-6</v>
      </c>
      <c r="E37">
        <v>9405</v>
      </c>
      <c r="F37">
        <v>1.09125838</v>
      </c>
      <c r="G37">
        <v>13700</v>
      </c>
      <c r="H37">
        <v>2.34E-6</v>
      </c>
    </row>
    <row r="38" spans="1:8">
      <c r="A38" s="4">
        <v>43645</v>
      </c>
      <c r="B38">
        <f t="shared" si="1"/>
        <v>10573.023366580001</v>
      </c>
      <c r="C38">
        <v>376503</v>
      </c>
      <c r="D38">
        <v>2.34E-6</v>
      </c>
      <c r="E38">
        <v>9688</v>
      </c>
      <c r="F38">
        <v>1.09125838</v>
      </c>
      <c r="G38">
        <v>13318</v>
      </c>
      <c r="H38">
        <v>2.34E-6</v>
      </c>
    </row>
    <row r="39" spans="1:8">
      <c r="A39" s="4">
        <v>43659</v>
      </c>
      <c r="B39">
        <f t="shared" si="1"/>
        <v>9309.3100188999997</v>
      </c>
      <c r="C39">
        <v>363500</v>
      </c>
      <c r="D39">
        <v>2.34E-6</v>
      </c>
      <c r="E39">
        <v>8530</v>
      </c>
      <c r="F39">
        <v>1.09125838</v>
      </c>
      <c r="G39">
        <v>10875</v>
      </c>
      <c r="H39">
        <v>2.34E-6</v>
      </c>
    </row>
    <row r="40" spans="1:8">
      <c r="A40" s="4">
        <v>43666</v>
      </c>
      <c r="B40">
        <f t="shared" si="1"/>
        <v>7395.1409604139999</v>
      </c>
      <c r="C40">
        <v>321465</v>
      </c>
      <c r="D40">
        <v>2.34E-6</v>
      </c>
      <c r="E40">
        <v>6776</v>
      </c>
      <c r="F40">
        <v>1.09125838</v>
      </c>
      <c r="G40">
        <v>9380.1</v>
      </c>
      <c r="H40">
        <v>2.34E-6</v>
      </c>
    </row>
    <row r="41" spans="1:8">
      <c r="A41" s="4">
        <v>43673</v>
      </c>
      <c r="B41">
        <f t="shared" si="1"/>
        <v>7377.6501954999994</v>
      </c>
      <c r="C41">
        <v>308003</v>
      </c>
      <c r="D41">
        <v>2.34E-6</v>
      </c>
      <c r="E41">
        <v>6760</v>
      </c>
      <c r="F41">
        <v>1.09125838</v>
      </c>
      <c r="G41">
        <v>9752</v>
      </c>
      <c r="H41">
        <v>2.34E-6</v>
      </c>
    </row>
    <row r="42" spans="1:8">
      <c r="A42" s="4">
        <v>43681</v>
      </c>
      <c r="B42">
        <f t="shared" si="1"/>
        <v>7320.9464281199998</v>
      </c>
      <c r="C42">
        <v>325500</v>
      </c>
      <c r="D42">
        <v>2.34E-6</v>
      </c>
      <c r="E42">
        <v>6708</v>
      </c>
      <c r="F42">
        <v>1.09125838</v>
      </c>
      <c r="G42">
        <v>10062</v>
      </c>
      <c r="H42">
        <v>2.34E-6</v>
      </c>
    </row>
    <row r="43" spans="1:8">
      <c r="A43" s="4">
        <v>43689</v>
      </c>
      <c r="B43">
        <f t="shared" si="1"/>
        <v>7028.5388370800001</v>
      </c>
      <c r="C43">
        <v>346600</v>
      </c>
      <c r="D43">
        <v>2.34E-6</v>
      </c>
      <c r="E43">
        <v>6440</v>
      </c>
      <c r="F43">
        <v>1.09125838</v>
      </c>
      <c r="G43">
        <v>10182</v>
      </c>
      <c r="H43">
        <v>2.34E-6</v>
      </c>
    </row>
    <row r="44" spans="1:8">
      <c r="A44" s="4">
        <v>43695</v>
      </c>
      <c r="B44">
        <f t="shared" si="1"/>
        <v>6218.7463055799999</v>
      </c>
      <c r="C44">
        <v>313601</v>
      </c>
      <c r="D44">
        <v>2.34E-6</v>
      </c>
      <c r="E44">
        <v>5698</v>
      </c>
      <c r="F44">
        <v>1.09125838</v>
      </c>
      <c r="G44">
        <v>9500</v>
      </c>
      <c r="H44">
        <v>2.34E-6</v>
      </c>
    </row>
    <row r="45" spans="1:8">
      <c r="A45" s="4">
        <v>43701</v>
      </c>
      <c r="B45">
        <f t="shared" si="1"/>
        <v>6330.2662874759999</v>
      </c>
      <c r="C45">
        <v>310800.01</v>
      </c>
      <c r="D45">
        <v>2.34E-6</v>
      </c>
      <c r="E45">
        <v>5800.2</v>
      </c>
      <c r="F45">
        <v>1.09125838</v>
      </c>
      <c r="G45">
        <v>9469.99</v>
      </c>
      <c r="H45">
        <v>2.34E-6</v>
      </c>
    </row>
    <row r="46" spans="1:8">
      <c r="A46" s="4">
        <v>43708</v>
      </c>
      <c r="B46">
        <f t="shared" si="1"/>
        <v>5693.7835667073996</v>
      </c>
      <c r="C46">
        <v>294999</v>
      </c>
      <c r="D46">
        <v>2.34E-6</v>
      </c>
      <c r="E46">
        <v>5216.9799999999996</v>
      </c>
      <c r="F46">
        <v>1.09125838</v>
      </c>
      <c r="G46">
        <v>8600.75</v>
      </c>
      <c r="H46">
        <v>2.34E-6</v>
      </c>
    </row>
    <row r="47" spans="1:8">
      <c r="A47" s="4">
        <v>43715</v>
      </c>
      <c r="B47">
        <f t="shared" si="1"/>
        <v>5569.4480585399997</v>
      </c>
      <c r="C47">
        <v>314700</v>
      </c>
      <c r="D47">
        <v>2.34E-6</v>
      </c>
      <c r="E47">
        <v>5103</v>
      </c>
      <c r="F47">
        <v>1.09125838</v>
      </c>
      <c r="G47">
        <v>8610</v>
      </c>
      <c r="H47">
        <v>2.34E-6</v>
      </c>
    </row>
    <row r="48" spans="1:8">
      <c r="A48" s="4">
        <v>44276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5D7DE-8917-4204-8FC9-6746D6FB4279}">
  <dimension ref="A1:Y176"/>
  <sheetViews>
    <sheetView zoomScale="85" zoomScaleNormal="85" workbookViewId="0">
      <selection activeCell="A2" sqref="A2"/>
    </sheetView>
  </sheetViews>
  <sheetFormatPr defaultRowHeight="14.5"/>
  <cols>
    <col min="1" max="1" width="9.7265625" bestFit="1" customWidth="1"/>
    <col min="2" max="2" width="15.26953125" customWidth="1"/>
    <col min="3" max="3" width="12.453125" bestFit="1" customWidth="1"/>
    <col min="4" max="4" width="9.453125" bestFit="1" customWidth="1"/>
    <col min="5" max="5" width="14.7265625" bestFit="1" customWidth="1"/>
    <col min="6" max="6" width="10.1796875" bestFit="1" customWidth="1"/>
    <col min="7" max="7" width="10.81640625" bestFit="1" customWidth="1"/>
    <col min="8" max="8" width="9.54296875" bestFit="1" customWidth="1"/>
    <col min="9" max="9" width="10.36328125" bestFit="1" customWidth="1"/>
    <col min="10" max="10" width="13.36328125" bestFit="1" customWidth="1"/>
    <col min="11" max="11" width="10.08984375" bestFit="1" customWidth="1"/>
    <col min="12" max="12" width="15.54296875" bestFit="1" customWidth="1"/>
    <col min="13" max="13" width="11" bestFit="1" customWidth="1"/>
    <col min="14" max="14" width="11.6328125" bestFit="1" customWidth="1"/>
    <col min="15" max="15" width="10.36328125" bestFit="1" customWidth="1"/>
    <col min="16" max="16" width="10.36328125" customWidth="1"/>
    <col min="17" max="17" width="13.36328125" bestFit="1" customWidth="1"/>
    <col min="18" max="18" width="14.1796875" bestFit="1" customWidth="1"/>
    <col min="19" max="19" width="14.81640625" bestFit="1" customWidth="1"/>
    <col min="21" max="21" width="14.1796875" bestFit="1" customWidth="1"/>
    <col min="22" max="22" width="14.81640625" bestFit="1" customWidth="1"/>
    <col min="23" max="23" width="10.36328125" bestFit="1" customWidth="1"/>
    <col min="24" max="24" width="9.6328125" bestFit="1" customWidth="1"/>
  </cols>
  <sheetData>
    <row r="1" spans="1:25">
      <c r="B1" t="s">
        <v>27</v>
      </c>
      <c r="C1" t="s">
        <v>42</v>
      </c>
      <c r="D1" t="s">
        <v>30</v>
      </c>
      <c r="E1" t="s">
        <v>44</v>
      </c>
      <c r="F1" t="s">
        <v>31</v>
      </c>
      <c r="G1" t="s">
        <v>35</v>
      </c>
      <c r="H1" t="s">
        <v>37</v>
      </c>
      <c r="I1" t="s">
        <v>28</v>
      </c>
      <c r="J1" t="s">
        <v>41</v>
      </c>
      <c r="K1" t="s">
        <v>32</v>
      </c>
      <c r="L1" t="s">
        <v>43</v>
      </c>
      <c r="M1" t="s">
        <v>33</v>
      </c>
      <c r="N1" t="s">
        <v>36</v>
      </c>
      <c r="O1" t="s">
        <v>38</v>
      </c>
      <c r="P1" t="s">
        <v>29</v>
      </c>
      <c r="Q1" t="s">
        <v>39</v>
      </c>
      <c r="R1" t="s">
        <v>40</v>
      </c>
      <c r="S1" s="12">
        <f>S2-B2</f>
        <v>-324772</v>
      </c>
      <c r="U1" s="12"/>
      <c r="V1" t="s">
        <v>57</v>
      </c>
      <c r="W1" t="s">
        <v>58</v>
      </c>
      <c r="X1" t="s">
        <v>59</v>
      </c>
      <c r="Y1" t="s">
        <v>60</v>
      </c>
    </row>
    <row r="2" spans="1:25">
      <c r="A2" t="s">
        <v>34</v>
      </c>
      <c r="B2" s="12">
        <f>SUM(B3:B1000)</f>
        <v>638000</v>
      </c>
      <c r="C2" s="12">
        <f>AVERAGE(C3:C1000)</f>
        <v>79.841951219512197</v>
      </c>
      <c r="D2" s="12">
        <f>SUM(D3:D1000)</f>
        <v>2372.8548999999998</v>
      </c>
      <c r="E2">
        <f>C2*D2</f>
        <v>189453.36517678047</v>
      </c>
      <c r="F2" s="12">
        <f>SUM(F3:F1000)</f>
        <v>5.3308653899999996</v>
      </c>
      <c r="G2" s="15">
        <f>(H2-D2)/D2</f>
        <v>2.2466040338159203E-3</v>
      </c>
      <c r="H2" s="12">
        <f>(D2+F2)</f>
        <v>2378.1857653899997</v>
      </c>
      <c r="I2" s="12">
        <f>H2*69.28</f>
        <v>164760.70982621919</v>
      </c>
      <c r="J2" s="12">
        <f>AVERAGE(J3:J1000)</f>
        <v>31.696874999999999</v>
      </c>
      <c r="K2" s="12">
        <f>SUM(K3:K1000)</f>
        <v>122.18879999999999</v>
      </c>
      <c r="L2">
        <f>J2*K2</f>
        <v>3873.0031199999994</v>
      </c>
      <c r="M2" s="12">
        <f>SUM(M3:M1000)</f>
        <v>4.7252032400000008</v>
      </c>
      <c r="N2" s="15">
        <f>(O2-K2)/K2</f>
        <v>3.8671328632411475E-2</v>
      </c>
      <c r="O2" s="12">
        <f>(K2+M2)</f>
        <v>126.91400323999999</v>
      </c>
      <c r="P2">
        <f>O2*31.5001</f>
        <v>3997.8037934603235</v>
      </c>
      <c r="Q2" s="12">
        <f>(P2+I2)-B2</f>
        <v>-469241.48638032051</v>
      </c>
      <c r="R2" s="13">
        <f>Q2/B2</f>
        <v>-0.73548822316664653</v>
      </c>
      <c r="S2" s="5">
        <v>313228</v>
      </c>
      <c r="T2" s="13">
        <f>(S2-B2)/B2</f>
        <v>-0.50904702194357365</v>
      </c>
      <c r="V2" s="20">
        <v>1661713</v>
      </c>
      <c r="W2" s="20">
        <v>6439</v>
      </c>
      <c r="X2">
        <v>32.5</v>
      </c>
      <c r="Y2">
        <v>68.2</v>
      </c>
    </row>
    <row r="3" spans="1:25">
      <c r="A3" s="4">
        <v>44277</v>
      </c>
      <c r="B3" s="12">
        <v>6000</v>
      </c>
      <c r="C3" s="12">
        <v>65</v>
      </c>
      <c r="D3">
        <v>46.153799999999997</v>
      </c>
      <c r="E3">
        <f>C3*D3</f>
        <v>2999.9969999999998</v>
      </c>
      <c r="F3" s="16">
        <v>1.8771340000000001E-2</v>
      </c>
      <c r="G3" s="16"/>
      <c r="H3" s="12"/>
      <c r="I3" s="12"/>
      <c r="J3" s="12">
        <v>31.15</v>
      </c>
      <c r="K3">
        <v>96.280600000000007</v>
      </c>
      <c r="L3">
        <f>J3*K3</f>
        <v>2999.1406900000002</v>
      </c>
      <c r="M3" s="16">
        <v>2.1521780000000001E-2</v>
      </c>
      <c r="N3" s="16"/>
      <c r="O3" s="12"/>
      <c r="U3" s="4"/>
      <c r="V3" s="20">
        <v>21823.200000000001</v>
      </c>
      <c r="W3" s="20">
        <f>7614-5296</f>
        <v>2318</v>
      </c>
      <c r="X3">
        <f>116398-6065</f>
        <v>110333</v>
      </c>
      <c r="Y3">
        <f>405998-65201</f>
        <v>340797</v>
      </c>
    </row>
    <row r="4" spans="1:25">
      <c r="A4" s="4">
        <v>44278</v>
      </c>
      <c r="B4" s="12">
        <v>3780</v>
      </c>
      <c r="C4" s="12"/>
      <c r="D4" s="16"/>
      <c r="E4" s="16"/>
      <c r="F4" s="16">
        <f>0.00000583+0.01877134</f>
        <v>1.8777169999999999E-2</v>
      </c>
      <c r="G4" s="16"/>
      <c r="H4" s="12"/>
      <c r="I4" s="12"/>
      <c r="J4" s="12"/>
      <c r="K4" s="16"/>
      <c r="L4" s="16"/>
      <c r="M4" s="16">
        <v>2.1526590000000002E-2</v>
      </c>
      <c r="N4" s="16"/>
      <c r="O4" s="12"/>
      <c r="S4" s="13"/>
      <c r="V4" s="21"/>
      <c r="W4" s="21"/>
      <c r="X4" s="21"/>
      <c r="Y4" s="21"/>
    </row>
    <row r="5" spans="1:25">
      <c r="A5" s="4">
        <v>44279</v>
      </c>
      <c r="B5" s="12"/>
      <c r="C5" s="12">
        <v>69.47</v>
      </c>
      <c r="D5">
        <v>54.404200000000003</v>
      </c>
      <c r="E5">
        <f t="shared" ref="E5:E42" si="0">C5*D5</f>
        <v>3779.4597739999999</v>
      </c>
      <c r="F5" s="16">
        <f>0.00001166+0.01877134</f>
        <v>1.8783000000000001E-2</v>
      </c>
      <c r="G5" s="16"/>
      <c r="H5" s="12"/>
      <c r="I5" s="12"/>
      <c r="J5" s="12"/>
      <c r="K5" s="16"/>
      <c r="L5" s="16"/>
      <c r="M5" s="16">
        <v>2.1531399999999999E-2</v>
      </c>
      <c r="N5" s="16"/>
      <c r="O5" s="12"/>
      <c r="S5" s="13"/>
      <c r="V5" s="21">
        <f>25000-V3</f>
        <v>3176.7999999999993</v>
      </c>
    </row>
    <row r="6" spans="1:25">
      <c r="A6" s="4">
        <v>44280</v>
      </c>
      <c r="B6" s="12">
        <f>220+7000</f>
        <v>7220</v>
      </c>
      <c r="C6">
        <v>75.150000000000006</v>
      </c>
      <c r="D6" s="16">
        <v>101.19459999999999</v>
      </c>
      <c r="E6">
        <f t="shared" si="0"/>
        <v>7604.7741900000001</v>
      </c>
      <c r="F6" s="16">
        <f>0.00000583+0.0409135</f>
        <v>4.0919329999999997E-2</v>
      </c>
      <c r="G6" s="16"/>
      <c r="H6" s="12"/>
      <c r="I6" s="12"/>
      <c r="J6" s="12">
        <v>32.130000000000003</v>
      </c>
      <c r="K6" s="16">
        <f>-50+0.0015+50.0062+6.8724</f>
        <v>6.8800999999999997</v>
      </c>
      <c r="L6">
        <f>J6*K6</f>
        <v>221.057613</v>
      </c>
      <c r="M6" s="16">
        <v>2.153621E-2</v>
      </c>
      <c r="N6" s="16"/>
      <c r="O6" s="12"/>
    </row>
    <row r="7" spans="1:25">
      <c r="A7" s="4">
        <v>44281</v>
      </c>
      <c r="B7" s="12"/>
      <c r="C7" s="12">
        <v>69.5</v>
      </c>
      <c r="D7" s="16">
        <v>22.817699999999999</v>
      </c>
      <c r="E7">
        <f t="shared" si="0"/>
        <v>1585.83015</v>
      </c>
      <c r="F7" s="16">
        <v>8.2094920000000002E-2</v>
      </c>
      <c r="G7" s="16"/>
      <c r="H7" s="12"/>
      <c r="I7" s="12"/>
      <c r="J7" s="12">
        <v>31.71</v>
      </c>
      <c r="K7" s="16">
        <f>-0.9691-23.4884-25.5425</f>
        <v>-50</v>
      </c>
      <c r="L7">
        <f>J7*K7</f>
        <v>-1585.5</v>
      </c>
      <c r="M7" s="16">
        <v>2.3078950000000001E-2</v>
      </c>
      <c r="N7" s="16"/>
      <c r="O7" s="12"/>
    </row>
    <row r="8" spans="1:25">
      <c r="A8" s="4">
        <v>44282</v>
      </c>
      <c r="B8">
        <v>4000</v>
      </c>
      <c r="C8" s="12">
        <v>69.349999999999994</v>
      </c>
      <c r="D8" s="16">
        <v>21.627800000000001</v>
      </c>
      <c r="E8">
        <f t="shared" si="0"/>
        <v>1499.8879299999999</v>
      </c>
      <c r="F8" s="16">
        <f>0.08209492+0.00711125</f>
        <v>8.9206170000000001E-2</v>
      </c>
      <c r="M8" s="16">
        <v>1.190752E-2</v>
      </c>
    </row>
    <row r="9" spans="1:25">
      <c r="A9" s="4">
        <v>44283</v>
      </c>
      <c r="B9">
        <v>80000</v>
      </c>
      <c r="C9" s="12">
        <v>69.5</v>
      </c>
      <c r="D9" s="16">
        <v>43.153100000000002</v>
      </c>
      <c r="E9">
        <f t="shared" si="0"/>
        <v>2999.1404500000003</v>
      </c>
      <c r="F9">
        <f>0.09999029+0.00019154</f>
        <v>0.10018183</v>
      </c>
      <c r="G9">
        <f>B9*1%*5/12</f>
        <v>333.33333333333331</v>
      </c>
      <c r="J9">
        <v>31.45</v>
      </c>
      <c r="K9">
        <v>47.680900000000001</v>
      </c>
      <c r="L9">
        <f t="shared" ref="L9:L15" si="1">J9*K9</f>
        <v>1499.5643050000001</v>
      </c>
      <c r="M9" s="16">
        <v>1.1910179999999999E-2</v>
      </c>
    </row>
    <row r="10" spans="1:25">
      <c r="C10" s="12">
        <v>69.5</v>
      </c>
      <c r="D10" s="16">
        <v>43.159700000000001</v>
      </c>
      <c r="E10">
        <f t="shared" si="0"/>
        <v>2999.59915</v>
      </c>
      <c r="G10" s="15"/>
      <c r="J10" s="12">
        <v>31.4</v>
      </c>
      <c r="K10">
        <v>31.847100000000001</v>
      </c>
      <c r="L10">
        <f t="shared" si="1"/>
        <v>999.99893999999995</v>
      </c>
    </row>
    <row r="11" spans="1:25">
      <c r="C11" s="12">
        <v>69.5</v>
      </c>
      <c r="D11" s="16">
        <v>43.165399999999998</v>
      </c>
      <c r="E11">
        <f t="shared" si="0"/>
        <v>2999.9953</v>
      </c>
      <c r="J11" s="12">
        <v>31.36</v>
      </c>
      <c r="K11">
        <v>31.887699999999999</v>
      </c>
      <c r="L11">
        <f t="shared" si="1"/>
        <v>999.99827199999993</v>
      </c>
    </row>
    <row r="12" spans="1:25">
      <c r="C12" s="12">
        <v>69.400000000000006</v>
      </c>
      <c r="D12" s="16">
        <v>57.632300000000001</v>
      </c>
      <c r="E12">
        <f t="shared" si="0"/>
        <v>3999.6816200000003</v>
      </c>
      <c r="J12" s="12">
        <v>31.35</v>
      </c>
      <c r="K12">
        <v>63.7958</v>
      </c>
      <c r="L12">
        <f t="shared" si="1"/>
        <v>1999.9983300000001</v>
      </c>
    </row>
    <row r="13" spans="1:25">
      <c r="C13" s="12">
        <v>69.25</v>
      </c>
      <c r="D13" s="16">
        <v>38.9285</v>
      </c>
      <c r="E13">
        <f t="shared" si="0"/>
        <v>2695.7986249999999</v>
      </c>
      <c r="J13" s="12">
        <v>31.32</v>
      </c>
      <c r="K13">
        <v>4.7999999999999996E-3</v>
      </c>
      <c r="L13">
        <f t="shared" si="1"/>
        <v>0.150336</v>
      </c>
    </row>
    <row r="14" spans="1:25">
      <c r="C14" s="12">
        <v>69.28</v>
      </c>
      <c r="D14" s="16">
        <v>18.829799999999999</v>
      </c>
      <c r="E14">
        <f t="shared" si="0"/>
        <v>1304.528544</v>
      </c>
      <c r="J14" s="12">
        <v>31.32</v>
      </c>
      <c r="K14">
        <v>95.765299999999996</v>
      </c>
      <c r="L14">
        <f t="shared" si="1"/>
        <v>2999.3691960000001</v>
      </c>
    </row>
    <row r="15" spans="1:25">
      <c r="C15" s="12">
        <v>69.150000000000006</v>
      </c>
      <c r="D15" s="16">
        <v>15.566599999999999</v>
      </c>
      <c r="E15">
        <f t="shared" si="0"/>
        <v>1076.43039</v>
      </c>
      <c r="J15" s="12">
        <v>31.34</v>
      </c>
      <c r="K15">
        <v>63.816200000000002</v>
      </c>
      <c r="L15">
        <f t="shared" si="1"/>
        <v>1999.9997080000001</v>
      </c>
    </row>
    <row r="16" spans="1:25">
      <c r="C16" s="12">
        <v>69.209999999999994</v>
      </c>
      <c r="D16" s="16">
        <v>43.346299999999999</v>
      </c>
      <c r="E16">
        <f t="shared" si="0"/>
        <v>2999.9974229999998</v>
      </c>
    </row>
    <row r="17" spans="1:13">
      <c r="C17" s="12">
        <v>69.2</v>
      </c>
      <c r="D17" s="16">
        <v>1.3153999999999999</v>
      </c>
      <c r="E17">
        <f t="shared" si="0"/>
        <v>91.025679999999994</v>
      </c>
    </row>
    <row r="18" spans="1:13">
      <c r="C18" s="12">
        <v>69.209999999999994</v>
      </c>
      <c r="D18" s="16">
        <v>28.897500000000001</v>
      </c>
      <c r="E18">
        <f t="shared" si="0"/>
        <v>1999.9959749999998</v>
      </c>
    </row>
    <row r="19" spans="1:13">
      <c r="C19" s="12">
        <v>69.2</v>
      </c>
      <c r="D19" s="16">
        <v>0.12939999999999999</v>
      </c>
      <c r="E19">
        <f t="shared" si="0"/>
        <v>8.9544800000000002</v>
      </c>
    </row>
    <row r="20" spans="1:13">
      <c r="C20" s="12">
        <v>69.2</v>
      </c>
      <c r="D20" s="16">
        <v>43.352600000000002</v>
      </c>
      <c r="E20">
        <f t="shared" si="0"/>
        <v>2999.9999200000002</v>
      </c>
    </row>
    <row r="21" spans="1:13">
      <c r="C21" s="12">
        <v>69.349999999999994</v>
      </c>
      <c r="D21" s="16">
        <v>1.4625999999999999</v>
      </c>
      <c r="E21">
        <f t="shared" si="0"/>
        <v>101.43130999999998</v>
      </c>
    </row>
    <row r="22" spans="1:13">
      <c r="C22" s="12">
        <v>69.349999999999994</v>
      </c>
      <c r="D22" s="16">
        <v>1</v>
      </c>
      <c r="E22">
        <f t="shared" si="0"/>
        <v>69.349999999999994</v>
      </c>
    </row>
    <row r="23" spans="1:13">
      <c r="C23" s="12">
        <v>69.349999999999994</v>
      </c>
      <c r="D23" s="16">
        <v>40.796100000000003</v>
      </c>
      <c r="E23">
        <f t="shared" si="0"/>
        <v>2829.209535</v>
      </c>
    </row>
    <row r="24" spans="1:13">
      <c r="C24" s="12">
        <v>69.349999999999994</v>
      </c>
      <c r="D24" s="16">
        <v>43.258699999999997</v>
      </c>
      <c r="E24">
        <f t="shared" si="0"/>
        <v>2999.9908449999994</v>
      </c>
    </row>
    <row r="25" spans="1:13">
      <c r="C25" s="12">
        <v>69.19</v>
      </c>
      <c r="D25" s="16">
        <v>43.358800000000002</v>
      </c>
      <c r="E25">
        <f t="shared" si="0"/>
        <v>2999.9953719999999</v>
      </c>
    </row>
    <row r="26" spans="1:13">
      <c r="C26" s="12">
        <v>69.3</v>
      </c>
      <c r="D26" s="16">
        <v>28.86</v>
      </c>
      <c r="E26">
        <f t="shared" si="0"/>
        <v>1999.9979999999998</v>
      </c>
    </row>
    <row r="27" spans="1:13">
      <c r="C27" s="12">
        <v>69.3</v>
      </c>
      <c r="D27" s="16">
        <v>14.4299</v>
      </c>
      <c r="E27">
        <f t="shared" si="0"/>
        <v>999.9920699999999</v>
      </c>
    </row>
    <row r="28" spans="1:13">
      <c r="A28" s="4">
        <v>44284</v>
      </c>
      <c r="C28" s="12">
        <v>69.27</v>
      </c>
      <c r="D28" s="16">
        <v>28.872399999999999</v>
      </c>
      <c r="E28">
        <f t="shared" si="0"/>
        <v>1999.9911479999998</v>
      </c>
      <c r="F28">
        <f>0.03125342+0.40705848</f>
        <v>0.43831189999999998</v>
      </c>
      <c r="J28" s="12">
        <v>31.28</v>
      </c>
      <c r="K28">
        <v>127.83669999999999</v>
      </c>
      <c r="L28">
        <f>J28*K28</f>
        <v>3998.731976</v>
      </c>
      <c r="M28" s="16">
        <v>8.6750789999999994E-2</v>
      </c>
    </row>
    <row r="29" spans="1:13">
      <c r="C29" s="12">
        <v>69.150000000000006</v>
      </c>
      <c r="D29" s="16">
        <v>43.378300000000003</v>
      </c>
      <c r="E29">
        <f t="shared" si="0"/>
        <v>2999.6094450000005</v>
      </c>
    </row>
    <row r="30" spans="1:13">
      <c r="C30" s="12">
        <v>68.89</v>
      </c>
      <c r="D30" s="16">
        <v>72.568899999999999</v>
      </c>
      <c r="E30">
        <f t="shared" si="0"/>
        <v>4999.2715209999997</v>
      </c>
    </row>
    <row r="31" spans="1:13">
      <c r="C31" s="12">
        <v>68.8</v>
      </c>
      <c r="D31" s="16">
        <v>0.1</v>
      </c>
      <c r="E31">
        <f t="shared" si="0"/>
        <v>6.88</v>
      </c>
    </row>
    <row r="32" spans="1:13">
      <c r="C32" s="12">
        <v>68.89</v>
      </c>
      <c r="D32" s="16">
        <v>8.2820999999999998</v>
      </c>
      <c r="E32">
        <f t="shared" si="0"/>
        <v>570.55386899999996</v>
      </c>
    </row>
    <row r="33" spans="1:13">
      <c r="C33" s="12">
        <v>68.89</v>
      </c>
      <c r="D33" s="16">
        <v>35.217399999999998</v>
      </c>
      <c r="E33">
        <f t="shared" si="0"/>
        <v>2426.1266860000001</v>
      </c>
    </row>
    <row r="34" spans="1:13">
      <c r="C34" s="12">
        <v>68.77</v>
      </c>
      <c r="D34" s="16">
        <v>72.698700000000002</v>
      </c>
      <c r="E34">
        <f t="shared" si="0"/>
        <v>4999.4895989999995</v>
      </c>
    </row>
    <row r="35" spans="1:13">
      <c r="C35" s="12">
        <v>69.5</v>
      </c>
      <c r="D35" s="16">
        <v>-50.321399999999997</v>
      </c>
      <c r="E35">
        <f t="shared" si="0"/>
        <v>-3497.3372999999997</v>
      </c>
    </row>
    <row r="36" spans="1:13">
      <c r="C36" s="12">
        <v>68.5</v>
      </c>
      <c r="D36" s="16">
        <v>40.910200000000003</v>
      </c>
      <c r="E36">
        <f t="shared" si="0"/>
        <v>2802.3487</v>
      </c>
    </row>
    <row r="37" spans="1:13">
      <c r="C37" s="12">
        <v>68.5</v>
      </c>
      <c r="D37" s="16">
        <v>2.8854000000000002</v>
      </c>
      <c r="E37">
        <f t="shared" si="0"/>
        <v>197.6499</v>
      </c>
    </row>
    <row r="38" spans="1:13">
      <c r="A38" s="4">
        <v>44285</v>
      </c>
      <c r="C38" s="12">
        <v>69.5</v>
      </c>
      <c r="D38" s="16">
        <v>-50.321399999999997</v>
      </c>
      <c r="E38">
        <f t="shared" si="0"/>
        <v>-3497.3372999999997</v>
      </c>
      <c r="F38">
        <f>0.02936302+0.40705848</f>
        <v>0.43642150000000002</v>
      </c>
      <c r="M38">
        <v>0.11534575</v>
      </c>
    </row>
    <row r="39" spans="1:13">
      <c r="C39" s="12">
        <v>69.989999999999995</v>
      </c>
      <c r="D39" s="16">
        <v>-25.714200000000002</v>
      </c>
      <c r="E39">
        <f t="shared" si="0"/>
        <v>-1799.736858</v>
      </c>
      <c r="M39">
        <v>3.336166</v>
      </c>
    </row>
    <row r="40" spans="1:13">
      <c r="C40" s="12">
        <v>69.989999999999995</v>
      </c>
      <c r="D40" s="16">
        <v>-0.1787</v>
      </c>
      <c r="E40">
        <f t="shared" si="0"/>
        <v>-12.507212999999998</v>
      </c>
    </row>
    <row r="41" spans="1:13">
      <c r="C41" s="12">
        <v>69.989999999999995</v>
      </c>
      <c r="D41" s="16">
        <v>-1.0888</v>
      </c>
      <c r="E41">
        <f t="shared" si="0"/>
        <v>-76.205112</v>
      </c>
    </row>
    <row r="42" spans="1:13">
      <c r="C42" s="12">
        <v>69.989999999999995</v>
      </c>
      <c r="D42" s="16">
        <v>-17.252300000000002</v>
      </c>
      <c r="E42">
        <f t="shared" si="0"/>
        <v>-1207.4884770000001</v>
      </c>
    </row>
    <row r="43" spans="1:13">
      <c r="A43" s="4">
        <v>44286</v>
      </c>
      <c r="F43">
        <v>0.40705848</v>
      </c>
      <c r="J43">
        <v>31.19</v>
      </c>
      <c r="K43">
        <v>64.112799999999993</v>
      </c>
      <c r="L43">
        <f>J43*K43</f>
        <v>1999.6782319999998</v>
      </c>
      <c r="M43">
        <v>0.13686722000000001</v>
      </c>
    </row>
    <row r="44" spans="1:13">
      <c r="J44">
        <v>31.24</v>
      </c>
      <c r="K44">
        <v>64.153700000000001</v>
      </c>
      <c r="L44">
        <f>J44*K44</f>
        <v>2004.1615879999999</v>
      </c>
    </row>
    <row r="45" spans="1:13">
      <c r="J45">
        <v>31.23</v>
      </c>
      <c r="K45">
        <v>32.076799999999999</v>
      </c>
      <c r="L45">
        <f>J45*K45</f>
        <v>1001.758464</v>
      </c>
    </row>
    <row r="46" spans="1:13">
      <c r="A46" s="4">
        <v>44287</v>
      </c>
      <c r="F46">
        <f>0.40705848+0.00026197</f>
        <v>0.40732045</v>
      </c>
      <c r="M46">
        <v>0.15915413</v>
      </c>
    </row>
    <row r="47" spans="1:13">
      <c r="A47" s="4">
        <v>44288</v>
      </c>
      <c r="F47">
        <f>0.40705848+0.00027962</f>
        <v>0.40733809999999998</v>
      </c>
      <c r="J47">
        <v>31.65</v>
      </c>
      <c r="K47">
        <v>-9.4741</v>
      </c>
      <c r="L47">
        <f>J47*K47</f>
        <v>-299.85526499999997</v>
      </c>
      <c r="M47">
        <v>0.15918971000000001</v>
      </c>
    </row>
    <row r="48" spans="1:13">
      <c r="J48">
        <v>31.65</v>
      </c>
      <c r="K48">
        <v>-31.605599999999999</v>
      </c>
      <c r="L48">
        <f>J48*K48</f>
        <v>-1000.31724</v>
      </c>
    </row>
    <row r="49" spans="1:13">
      <c r="J49">
        <v>31.65</v>
      </c>
      <c r="K49">
        <v>-6.3190999999999997</v>
      </c>
      <c r="L49">
        <f>J49*K49</f>
        <v>-199.99951499999997</v>
      </c>
    </row>
    <row r="50" spans="1:13">
      <c r="A50" s="4">
        <v>44289</v>
      </c>
      <c r="C50">
        <v>73.95</v>
      </c>
      <c r="D50">
        <v>27.045300000000001</v>
      </c>
      <c r="E50">
        <f t="shared" ref="E50:E80" si="2">C50*D50</f>
        <v>1999.9999350000001</v>
      </c>
      <c r="F50">
        <f>0.40705848+0.00037068</f>
        <v>0.40742916000000001</v>
      </c>
      <c r="M50">
        <v>0.14863014999999999</v>
      </c>
    </row>
    <row r="51" spans="1:13">
      <c r="C51">
        <v>73.7</v>
      </c>
      <c r="D51">
        <v>27.137</v>
      </c>
      <c r="E51">
        <f t="shared" si="2"/>
        <v>1999.9969000000001</v>
      </c>
    </row>
    <row r="52" spans="1:13">
      <c r="A52" s="4">
        <v>44290</v>
      </c>
      <c r="C52">
        <v>74.42</v>
      </c>
      <c r="D52">
        <v>-28.123999999999999</v>
      </c>
      <c r="E52">
        <f t="shared" si="2"/>
        <v>-2092.9880800000001</v>
      </c>
      <c r="F52">
        <f>0.40705848+0.01257322</f>
        <v>0.4196317</v>
      </c>
      <c r="J52">
        <v>31.65</v>
      </c>
      <c r="K52">
        <v>-47.387900000000002</v>
      </c>
      <c r="L52">
        <f>J52*K52</f>
        <v>-1499.827035</v>
      </c>
      <c r="M52">
        <v>0.13807067000000001</v>
      </c>
    </row>
    <row r="53" spans="1:13">
      <c r="C53">
        <v>74.400000000000006</v>
      </c>
      <c r="D53">
        <v>40.322499999999998</v>
      </c>
      <c r="E53">
        <f t="shared" si="2"/>
        <v>2999.9940000000001</v>
      </c>
      <c r="J53">
        <v>31.8</v>
      </c>
      <c r="K53">
        <v>-100</v>
      </c>
      <c r="L53">
        <f>J53*K53</f>
        <v>-3180</v>
      </c>
    </row>
    <row r="54" spans="1:13">
      <c r="C54">
        <v>74.400000000000006</v>
      </c>
      <c r="D54">
        <v>53.763300000000001</v>
      </c>
      <c r="E54">
        <f t="shared" si="2"/>
        <v>3999.9895200000005</v>
      </c>
      <c r="J54">
        <v>31.87</v>
      </c>
      <c r="K54">
        <v>-79.419499999999999</v>
      </c>
      <c r="L54">
        <f>J54*K54</f>
        <v>-2531.0994650000002</v>
      </c>
    </row>
    <row r="55" spans="1:13">
      <c r="A55" s="4">
        <v>44291</v>
      </c>
      <c r="B55">
        <v>9000</v>
      </c>
      <c r="C55">
        <v>76.17</v>
      </c>
      <c r="D55">
        <v>5.0812999999999997</v>
      </c>
      <c r="E55">
        <f t="shared" si="2"/>
        <v>387.042621</v>
      </c>
      <c r="F55">
        <f>0.02058214+0.40705848</f>
        <v>0.42764062000000003</v>
      </c>
      <c r="J55">
        <v>31.75</v>
      </c>
      <c r="K55">
        <v>31.495899999999999</v>
      </c>
      <c r="L55">
        <f>J55*K55</f>
        <v>999.99482499999999</v>
      </c>
      <c r="M55">
        <v>0.11574835999999999</v>
      </c>
    </row>
    <row r="56" spans="1:13">
      <c r="C56">
        <v>76.17</v>
      </c>
      <c r="D56">
        <v>8.0472000000000001</v>
      </c>
      <c r="E56">
        <f t="shared" si="2"/>
        <v>612.95522400000004</v>
      </c>
    </row>
    <row r="57" spans="1:13">
      <c r="C57">
        <v>76.099999999999994</v>
      </c>
      <c r="D57">
        <v>13.140499999999999</v>
      </c>
      <c r="E57">
        <f t="shared" si="2"/>
        <v>999.99204999999984</v>
      </c>
    </row>
    <row r="58" spans="1:13">
      <c r="C58">
        <v>76</v>
      </c>
      <c r="D58">
        <v>13.1578</v>
      </c>
      <c r="E58">
        <f t="shared" si="2"/>
        <v>999.99279999999999</v>
      </c>
    </row>
    <row r="59" spans="1:13">
      <c r="C59">
        <v>75.8</v>
      </c>
      <c r="D59">
        <v>13.192500000000001</v>
      </c>
      <c r="E59">
        <f t="shared" si="2"/>
        <v>999.99149999999997</v>
      </c>
    </row>
    <row r="60" spans="1:13">
      <c r="C60">
        <v>75.7</v>
      </c>
      <c r="D60">
        <v>13.21</v>
      </c>
      <c r="E60">
        <f t="shared" si="2"/>
        <v>999.99700000000007</v>
      </c>
    </row>
    <row r="61" spans="1:13">
      <c r="C61">
        <v>75.7</v>
      </c>
      <c r="D61">
        <v>13.21</v>
      </c>
      <c r="E61">
        <f t="shared" si="2"/>
        <v>999.99700000000007</v>
      </c>
    </row>
    <row r="62" spans="1:13">
      <c r="C62">
        <v>75.7</v>
      </c>
      <c r="D62">
        <v>3</v>
      </c>
      <c r="E62">
        <f t="shared" si="2"/>
        <v>227.10000000000002</v>
      </c>
    </row>
    <row r="63" spans="1:13">
      <c r="C63">
        <v>75.599999999999994</v>
      </c>
      <c r="D63">
        <v>13.227499999999999</v>
      </c>
      <c r="E63">
        <f t="shared" si="2"/>
        <v>999.99899999999991</v>
      </c>
    </row>
    <row r="64" spans="1:13">
      <c r="A64" s="4">
        <v>44292</v>
      </c>
      <c r="C64">
        <v>75.599999999999994</v>
      </c>
      <c r="D64">
        <v>13.227499999999999</v>
      </c>
      <c r="E64">
        <f t="shared" si="2"/>
        <v>999.99899999999991</v>
      </c>
      <c r="F64">
        <f>0.48840105+0.00314506</f>
        <v>0.49154610999999998</v>
      </c>
      <c r="J64">
        <v>31.65</v>
      </c>
      <c r="K64">
        <v>31.595500000000001</v>
      </c>
      <c r="L64">
        <f>J64*K64</f>
        <v>999.99757499999998</v>
      </c>
      <c r="M64">
        <v>0.11212438</v>
      </c>
    </row>
    <row r="65" spans="1:12">
      <c r="C65">
        <v>75.55</v>
      </c>
      <c r="D65">
        <v>13.2362</v>
      </c>
      <c r="E65">
        <f t="shared" si="2"/>
        <v>999.99491</v>
      </c>
      <c r="J65">
        <v>31.92</v>
      </c>
      <c r="K65">
        <v>-250.80179999999999</v>
      </c>
      <c r="L65">
        <f>J65*K65</f>
        <v>-8005.5934559999996</v>
      </c>
    </row>
    <row r="66" spans="1:12">
      <c r="C66">
        <v>75.5</v>
      </c>
      <c r="D66">
        <v>6.6224999999999996</v>
      </c>
      <c r="E66">
        <f t="shared" si="2"/>
        <v>499.99874999999997</v>
      </c>
    </row>
    <row r="67" spans="1:12">
      <c r="C67">
        <v>75.400000000000006</v>
      </c>
      <c r="D67">
        <v>13.262499999999999</v>
      </c>
      <c r="E67">
        <f t="shared" si="2"/>
        <v>999.99250000000006</v>
      </c>
    </row>
    <row r="68" spans="1:12">
      <c r="C68">
        <v>75.349999999999994</v>
      </c>
      <c r="D68">
        <v>6.6356999999999999</v>
      </c>
      <c r="E68">
        <f t="shared" si="2"/>
        <v>499.99999499999996</v>
      </c>
    </row>
    <row r="69" spans="1:12">
      <c r="C69">
        <v>75.3</v>
      </c>
      <c r="D69">
        <v>13.280200000000001</v>
      </c>
      <c r="E69">
        <f t="shared" si="2"/>
        <v>999.99905999999999</v>
      </c>
    </row>
    <row r="70" spans="1:12">
      <c r="C70">
        <v>75.2</v>
      </c>
      <c r="D70">
        <v>13.297800000000001</v>
      </c>
      <c r="E70">
        <f t="shared" si="2"/>
        <v>999.99456000000009</v>
      </c>
    </row>
    <row r="71" spans="1:12">
      <c r="C71">
        <v>75.099999999999994</v>
      </c>
      <c r="D71">
        <v>13.3155</v>
      </c>
      <c r="E71">
        <f t="shared" si="2"/>
        <v>999.9940499999999</v>
      </c>
    </row>
    <row r="72" spans="1:12">
      <c r="C72">
        <v>75</v>
      </c>
      <c r="D72">
        <v>13.3421</v>
      </c>
      <c r="E72">
        <f t="shared" si="2"/>
        <v>1000.6575</v>
      </c>
    </row>
    <row r="73" spans="1:12">
      <c r="C73">
        <v>75.5</v>
      </c>
      <c r="D73">
        <v>0.42130000000000001</v>
      </c>
      <c r="E73">
        <f t="shared" si="2"/>
        <v>31.808150000000001</v>
      </c>
    </row>
    <row r="74" spans="1:12">
      <c r="C74">
        <v>75.5</v>
      </c>
      <c r="D74">
        <v>12.823700000000001</v>
      </c>
      <c r="E74">
        <f t="shared" si="2"/>
        <v>968.18934999999999</v>
      </c>
    </row>
    <row r="75" spans="1:12">
      <c r="A75" s="4"/>
      <c r="C75">
        <v>75.400000000000006</v>
      </c>
      <c r="D75">
        <v>13.262499999999999</v>
      </c>
      <c r="E75">
        <f t="shared" si="2"/>
        <v>999.99250000000006</v>
      </c>
    </row>
    <row r="76" spans="1:12">
      <c r="C76">
        <v>75.3</v>
      </c>
      <c r="D76">
        <v>13.280200000000001</v>
      </c>
      <c r="E76">
        <f t="shared" si="2"/>
        <v>999.99905999999999</v>
      </c>
    </row>
    <row r="77" spans="1:12">
      <c r="C77">
        <v>75.2</v>
      </c>
      <c r="D77">
        <v>13.297800000000001</v>
      </c>
      <c r="E77">
        <f t="shared" si="2"/>
        <v>999.99456000000009</v>
      </c>
    </row>
    <row r="78" spans="1:12">
      <c r="C78">
        <v>75.099999999999994</v>
      </c>
      <c r="D78">
        <v>13.3155</v>
      </c>
      <c r="E78">
        <f t="shared" si="2"/>
        <v>999.9940499999999</v>
      </c>
    </row>
    <row r="79" spans="1:12">
      <c r="C79">
        <v>75</v>
      </c>
      <c r="D79">
        <v>13.333299999999999</v>
      </c>
      <c r="E79">
        <f t="shared" si="2"/>
        <v>999.99749999999995</v>
      </c>
    </row>
    <row r="80" spans="1:12">
      <c r="C80">
        <v>74.900000000000006</v>
      </c>
      <c r="D80">
        <v>13.351100000000001</v>
      </c>
      <c r="E80">
        <f t="shared" si="2"/>
        <v>999.99739000000011</v>
      </c>
    </row>
    <row r="81" spans="1:13">
      <c r="A81" s="4">
        <v>44293</v>
      </c>
      <c r="F81">
        <f>0.01919396+0.54046029</f>
        <v>0.55965424999999991</v>
      </c>
      <c r="J81">
        <v>32.200000000000003</v>
      </c>
      <c r="K81">
        <v>-125.45699999999999</v>
      </c>
      <c r="L81">
        <f>J81*K81</f>
        <v>-4039.7154</v>
      </c>
      <c r="M81">
        <v>5.6087270000000002E-2</v>
      </c>
    </row>
    <row r="82" spans="1:13">
      <c r="A82" s="4">
        <v>44294</v>
      </c>
      <c r="B82">
        <f>65142</f>
        <v>65142</v>
      </c>
      <c r="F82">
        <f>0.01931907+0.54046029</f>
        <v>0.55977935999999995</v>
      </c>
      <c r="M82">
        <v>2.805618E-2</v>
      </c>
    </row>
    <row r="83" spans="1:13">
      <c r="A83" s="4">
        <v>44295</v>
      </c>
      <c r="C83">
        <v>82.4</v>
      </c>
      <c r="D83">
        <v>-6.0686</v>
      </c>
      <c r="E83">
        <f>C83*D83</f>
        <v>-500.05264000000005</v>
      </c>
      <c r="J83">
        <v>32.21</v>
      </c>
      <c r="K83">
        <v>-30</v>
      </c>
      <c r="L83">
        <f t="shared" ref="L83:L90" si="3">J83*K83</f>
        <v>-966.30000000000007</v>
      </c>
    </row>
    <row r="84" spans="1:13">
      <c r="C84">
        <v>82.6</v>
      </c>
      <c r="D84">
        <v>-6.0532000000000004</v>
      </c>
      <c r="E84">
        <f>C84*D84</f>
        <v>-499.99432000000002</v>
      </c>
      <c r="J84">
        <v>32.22</v>
      </c>
      <c r="K84">
        <v>-30</v>
      </c>
      <c r="L84">
        <f t="shared" si="3"/>
        <v>-966.59999999999991</v>
      </c>
    </row>
    <row r="85" spans="1:13">
      <c r="J85">
        <v>32.14</v>
      </c>
      <c r="K85">
        <v>31.113800000000001</v>
      </c>
      <c r="L85">
        <f t="shared" si="3"/>
        <v>999.99753200000009</v>
      </c>
    </row>
    <row r="86" spans="1:13">
      <c r="J86">
        <v>32.119999999999997</v>
      </c>
      <c r="K86">
        <v>31.133199999999999</v>
      </c>
      <c r="L86">
        <f t="shared" si="3"/>
        <v>999.99838399999987</v>
      </c>
    </row>
    <row r="87" spans="1:13">
      <c r="J87">
        <v>32.1</v>
      </c>
      <c r="K87">
        <v>4.0000000000000002E-4</v>
      </c>
      <c r="L87">
        <f t="shared" si="3"/>
        <v>1.2840000000000001E-2</v>
      </c>
    </row>
    <row r="88" spans="1:13">
      <c r="J88">
        <v>32.1</v>
      </c>
      <c r="K88">
        <v>0.66800000000000004</v>
      </c>
      <c r="L88">
        <f t="shared" si="3"/>
        <v>21.442800000000002</v>
      </c>
    </row>
    <row r="89" spans="1:13">
      <c r="J89">
        <v>32.1</v>
      </c>
      <c r="K89">
        <v>14.9079</v>
      </c>
      <c r="L89">
        <f t="shared" si="3"/>
        <v>478.54358999999999</v>
      </c>
    </row>
    <row r="90" spans="1:13">
      <c r="A90" s="4">
        <v>44296</v>
      </c>
      <c r="B90">
        <f>80000*0</f>
        <v>0</v>
      </c>
      <c r="C90">
        <v>92.79</v>
      </c>
      <c r="D90">
        <v>10.7759</v>
      </c>
      <c r="E90">
        <f t="shared" ref="E90:E131" si="4">C90*D90</f>
        <v>999.89576100000011</v>
      </c>
      <c r="J90">
        <v>32.049999999999997</v>
      </c>
      <c r="K90">
        <v>15.6006</v>
      </c>
      <c r="L90">
        <f t="shared" si="3"/>
        <v>499.99922999999995</v>
      </c>
    </row>
    <row r="91" spans="1:13">
      <c r="C91">
        <v>92.78</v>
      </c>
      <c r="D91">
        <v>21.556000000000001</v>
      </c>
      <c r="E91">
        <f t="shared" si="4"/>
        <v>1999.96568</v>
      </c>
    </row>
    <row r="92" spans="1:13">
      <c r="C92">
        <v>92.79</v>
      </c>
      <c r="D92">
        <v>21.553999999999998</v>
      </c>
      <c r="E92">
        <f t="shared" si="4"/>
        <v>1999.99566</v>
      </c>
    </row>
    <row r="93" spans="1:13">
      <c r="C93">
        <v>92.8</v>
      </c>
      <c r="D93">
        <v>21.5517</v>
      </c>
      <c r="E93">
        <f t="shared" si="4"/>
        <v>1999.99776</v>
      </c>
    </row>
    <row r="94" spans="1:13">
      <c r="C94">
        <v>92.8</v>
      </c>
      <c r="D94">
        <v>21.5517</v>
      </c>
      <c r="E94">
        <f t="shared" si="4"/>
        <v>1999.99776</v>
      </c>
    </row>
    <row r="95" spans="1:13">
      <c r="C95">
        <v>92.79</v>
      </c>
      <c r="D95">
        <v>21.553999999999998</v>
      </c>
      <c r="E95">
        <f t="shared" si="4"/>
        <v>1999.99566</v>
      </c>
    </row>
    <row r="96" spans="1:13">
      <c r="C96">
        <v>91.95</v>
      </c>
      <c r="D96">
        <v>21.750900000000001</v>
      </c>
      <c r="E96">
        <f t="shared" si="4"/>
        <v>1999.9952550000003</v>
      </c>
    </row>
    <row r="97" spans="3:5">
      <c r="C97">
        <v>91.94</v>
      </c>
      <c r="D97">
        <v>21.753299999999999</v>
      </c>
      <c r="E97">
        <f t="shared" si="4"/>
        <v>1999.9984019999999</v>
      </c>
    </row>
    <row r="98" spans="3:5">
      <c r="C98">
        <v>91.71</v>
      </c>
      <c r="D98">
        <v>21.7746</v>
      </c>
      <c r="E98">
        <f t="shared" si="4"/>
        <v>1996.9485659999998</v>
      </c>
    </row>
    <row r="99" spans="3:5">
      <c r="C99">
        <v>91.6</v>
      </c>
      <c r="D99">
        <v>21.881799999999998</v>
      </c>
      <c r="E99">
        <f t="shared" si="4"/>
        <v>2004.3728799999997</v>
      </c>
    </row>
    <row r="100" spans="3:5">
      <c r="C100">
        <v>91.7</v>
      </c>
      <c r="D100">
        <v>21.881799999999998</v>
      </c>
      <c r="E100">
        <f t="shared" si="4"/>
        <v>2006.56106</v>
      </c>
    </row>
    <row r="101" spans="3:5">
      <c r="C101">
        <v>91.7</v>
      </c>
      <c r="D101">
        <v>21.810199999999998</v>
      </c>
      <c r="E101">
        <f t="shared" si="4"/>
        <v>1999.9953399999999</v>
      </c>
    </row>
    <row r="102" spans="3:5">
      <c r="C102">
        <v>91.65</v>
      </c>
      <c r="D102">
        <v>21.810199999999998</v>
      </c>
      <c r="E102">
        <f t="shared" si="4"/>
        <v>1998.9048299999999</v>
      </c>
    </row>
    <row r="103" spans="3:5">
      <c r="C103">
        <v>91.65</v>
      </c>
      <c r="D103">
        <v>21.810199999999998</v>
      </c>
      <c r="E103">
        <f t="shared" si="4"/>
        <v>1998.9048299999999</v>
      </c>
    </row>
    <row r="104" spans="3:5">
      <c r="C104">
        <v>91.65</v>
      </c>
      <c r="D104">
        <v>21.810199999999998</v>
      </c>
      <c r="E104">
        <f t="shared" si="4"/>
        <v>1998.9048299999999</v>
      </c>
    </row>
    <row r="105" spans="3:5">
      <c r="C105">
        <v>91.6</v>
      </c>
      <c r="D105">
        <v>21.810199999999998</v>
      </c>
      <c r="E105">
        <f t="shared" si="4"/>
        <v>1997.8143199999997</v>
      </c>
    </row>
    <row r="106" spans="3:5">
      <c r="C106">
        <v>91.6</v>
      </c>
      <c r="D106">
        <v>21.810199999999998</v>
      </c>
      <c r="E106">
        <f t="shared" si="4"/>
        <v>1997.8143199999997</v>
      </c>
    </row>
    <row r="107" spans="3:5">
      <c r="C107">
        <v>91.6</v>
      </c>
      <c r="D107">
        <v>21.810199999999998</v>
      </c>
      <c r="E107">
        <f t="shared" si="4"/>
        <v>1997.8143199999997</v>
      </c>
    </row>
    <row r="108" spans="3:5">
      <c r="C108">
        <v>91.55</v>
      </c>
      <c r="D108">
        <v>21.810199999999998</v>
      </c>
      <c r="E108">
        <f t="shared" si="4"/>
        <v>1996.7238099999997</v>
      </c>
    </row>
    <row r="109" spans="3:5">
      <c r="C109">
        <v>91.5</v>
      </c>
      <c r="D109">
        <v>21.881799999999998</v>
      </c>
      <c r="E109">
        <f t="shared" si="4"/>
        <v>2002.1846999999998</v>
      </c>
    </row>
    <row r="110" spans="3:5">
      <c r="C110">
        <v>91.5</v>
      </c>
      <c r="D110">
        <v>21.810199999999998</v>
      </c>
      <c r="E110">
        <f t="shared" si="4"/>
        <v>1995.6332999999997</v>
      </c>
    </row>
    <row r="111" spans="3:5">
      <c r="C111">
        <v>91.45</v>
      </c>
      <c r="D111">
        <v>21.810199999999998</v>
      </c>
      <c r="E111">
        <f t="shared" si="4"/>
        <v>1994.54279</v>
      </c>
    </row>
    <row r="112" spans="3:5">
      <c r="C112">
        <v>91.4</v>
      </c>
      <c r="D112">
        <v>21.881799999999998</v>
      </c>
      <c r="E112">
        <f t="shared" si="4"/>
        <v>1999.9965199999999</v>
      </c>
    </row>
    <row r="113" spans="3:5">
      <c r="C113">
        <v>91.3</v>
      </c>
      <c r="D113">
        <v>21.905799999999999</v>
      </c>
      <c r="E113">
        <f t="shared" si="4"/>
        <v>1999.9995399999998</v>
      </c>
    </row>
    <row r="114" spans="3:5">
      <c r="C114">
        <v>91.4</v>
      </c>
      <c r="D114">
        <v>21.881799999999998</v>
      </c>
      <c r="E114">
        <f t="shared" si="4"/>
        <v>1999.9965199999999</v>
      </c>
    </row>
    <row r="115" spans="3:5">
      <c r="C115">
        <v>91.3</v>
      </c>
      <c r="D115">
        <v>21.905799999999999</v>
      </c>
      <c r="E115">
        <f t="shared" si="4"/>
        <v>1999.9995399999998</v>
      </c>
    </row>
    <row r="116" spans="3:5">
      <c r="C116">
        <v>91.3</v>
      </c>
      <c r="D116">
        <v>21.881799999999998</v>
      </c>
      <c r="E116">
        <f t="shared" si="4"/>
        <v>1997.8083399999998</v>
      </c>
    </row>
    <row r="117" spans="3:5">
      <c r="C117">
        <v>91.3</v>
      </c>
      <c r="D117">
        <v>21.881799999999998</v>
      </c>
      <c r="E117">
        <f t="shared" si="4"/>
        <v>1997.8083399999998</v>
      </c>
    </row>
    <row r="118" spans="3:5">
      <c r="C118">
        <v>91.2</v>
      </c>
      <c r="D118">
        <v>21.7746</v>
      </c>
      <c r="E118">
        <f t="shared" si="4"/>
        <v>1985.8435200000001</v>
      </c>
    </row>
    <row r="119" spans="3:5">
      <c r="C119">
        <v>91.1</v>
      </c>
      <c r="D119">
        <v>21.5517</v>
      </c>
      <c r="E119">
        <f t="shared" si="4"/>
        <v>1963.35987</v>
      </c>
    </row>
    <row r="120" spans="3:5">
      <c r="C120">
        <v>91</v>
      </c>
      <c r="D120">
        <v>21.978000000000002</v>
      </c>
      <c r="E120">
        <f t="shared" si="4"/>
        <v>1999.998</v>
      </c>
    </row>
    <row r="121" spans="3:5">
      <c r="C121">
        <v>91</v>
      </c>
      <c r="D121">
        <v>21.978000000000002</v>
      </c>
      <c r="E121">
        <f t="shared" si="4"/>
        <v>1999.998</v>
      </c>
    </row>
    <row r="122" spans="3:5">
      <c r="C122">
        <v>91</v>
      </c>
      <c r="D122">
        <v>21.978000000000002</v>
      </c>
      <c r="E122">
        <f t="shared" si="4"/>
        <v>1999.998</v>
      </c>
    </row>
    <row r="123" spans="3:5">
      <c r="C123">
        <v>90.9</v>
      </c>
      <c r="D123">
        <v>22.002199999999998</v>
      </c>
      <c r="E123">
        <f t="shared" si="4"/>
        <v>1999.9999800000001</v>
      </c>
    </row>
    <row r="124" spans="3:5">
      <c r="C124">
        <v>90.8</v>
      </c>
      <c r="D124">
        <v>22.026399999999999</v>
      </c>
      <c r="E124">
        <f t="shared" si="4"/>
        <v>1999.9971199999998</v>
      </c>
    </row>
    <row r="125" spans="3:5">
      <c r="C125">
        <v>90.8</v>
      </c>
      <c r="D125">
        <v>22.026399999999999</v>
      </c>
      <c r="E125">
        <f t="shared" si="4"/>
        <v>1999.9971199999998</v>
      </c>
    </row>
    <row r="126" spans="3:5">
      <c r="C126">
        <v>90.7</v>
      </c>
      <c r="D126">
        <v>22.026399999999999</v>
      </c>
      <c r="E126">
        <f t="shared" si="4"/>
        <v>1997.79448</v>
      </c>
    </row>
    <row r="127" spans="3:5">
      <c r="C127">
        <v>90.7</v>
      </c>
      <c r="D127">
        <v>22.050699999999999</v>
      </c>
      <c r="E127">
        <f t="shared" si="4"/>
        <v>1999.9984899999999</v>
      </c>
    </row>
    <row r="128" spans="3:5">
      <c r="C128">
        <v>90.6</v>
      </c>
      <c r="D128">
        <v>22.074999999999999</v>
      </c>
      <c r="E128">
        <f t="shared" si="4"/>
        <v>1999.9949999999999</v>
      </c>
    </row>
    <row r="129" spans="1:5">
      <c r="C129">
        <v>90.5</v>
      </c>
      <c r="D129">
        <v>22.099399999999999</v>
      </c>
      <c r="E129">
        <f t="shared" si="4"/>
        <v>1999.9956999999999</v>
      </c>
    </row>
    <row r="130" spans="1:5">
      <c r="C130">
        <v>90.4</v>
      </c>
      <c r="D130">
        <v>11.0619</v>
      </c>
      <c r="E130">
        <f t="shared" si="4"/>
        <v>999.99576000000002</v>
      </c>
    </row>
    <row r="131" spans="1:5">
      <c r="C131">
        <v>92.16</v>
      </c>
      <c r="D131">
        <v>0.75949999999999995</v>
      </c>
      <c r="E131">
        <f t="shared" si="4"/>
        <v>69.995519999999999</v>
      </c>
    </row>
    <row r="132" spans="1:5">
      <c r="A132" s="4">
        <v>44297</v>
      </c>
      <c r="B132">
        <f>40000*0</f>
        <v>0</v>
      </c>
    </row>
    <row r="133" spans="1:5">
      <c r="A133" s="4">
        <v>44300</v>
      </c>
      <c r="B133">
        <v>8000</v>
      </c>
    </row>
    <row r="134" spans="1:5">
      <c r="A134" s="4">
        <v>44303</v>
      </c>
      <c r="B134">
        <v>2000</v>
      </c>
    </row>
    <row r="135" spans="1:5">
      <c r="A135" s="4">
        <v>44304</v>
      </c>
      <c r="B135">
        <v>1500</v>
      </c>
    </row>
    <row r="136" spans="1:5">
      <c r="A136" s="4">
        <v>44305</v>
      </c>
      <c r="B136">
        <v>2000</v>
      </c>
    </row>
    <row r="137" spans="1:5">
      <c r="A137" s="4">
        <v>44306</v>
      </c>
      <c r="B137">
        <v>1000</v>
      </c>
    </row>
    <row r="138" spans="1:5">
      <c r="A138" s="4">
        <v>44307</v>
      </c>
      <c r="B138">
        <v>1000</v>
      </c>
    </row>
    <row r="139" spans="1:5">
      <c r="A139" s="4">
        <v>44309</v>
      </c>
      <c r="B139">
        <v>1000</v>
      </c>
    </row>
    <row r="140" spans="1:5">
      <c r="A140" s="4">
        <v>44311</v>
      </c>
      <c r="B140">
        <v>1120</v>
      </c>
    </row>
    <row r="141" spans="1:5">
      <c r="A141" s="4">
        <v>44312</v>
      </c>
      <c r="B141">
        <v>500</v>
      </c>
    </row>
    <row r="142" spans="1:5">
      <c r="A142" s="4">
        <v>44314</v>
      </c>
      <c r="B142">
        <v>20000</v>
      </c>
    </row>
    <row r="143" spans="1:5">
      <c r="A143" s="4">
        <v>44318</v>
      </c>
      <c r="B143">
        <v>738</v>
      </c>
    </row>
    <row r="144" spans="1:5">
      <c r="A144" s="4">
        <v>44334</v>
      </c>
      <c r="B144">
        <v>6000</v>
      </c>
    </row>
    <row r="145" spans="1:2">
      <c r="A145" s="4">
        <v>44349</v>
      </c>
      <c r="B145">
        <v>800</v>
      </c>
    </row>
    <row r="146" spans="1:2">
      <c r="A146" s="4">
        <v>44352</v>
      </c>
      <c r="B146">
        <v>3000</v>
      </c>
    </row>
    <row r="147" spans="1:2">
      <c r="A147" s="4">
        <v>44353</v>
      </c>
      <c r="B147">
        <v>1000</v>
      </c>
    </row>
    <row r="148" spans="1:2">
      <c r="A148" s="4">
        <v>44360</v>
      </c>
      <c r="B148">
        <v>3000</v>
      </c>
    </row>
    <row r="149" spans="1:2">
      <c r="A149" s="4">
        <v>44362</v>
      </c>
      <c r="B149">
        <v>500</v>
      </c>
    </row>
    <row r="150" spans="1:2">
      <c r="A150" s="4">
        <v>44363</v>
      </c>
      <c r="B150">
        <v>500</v>
      </c>
    </row>
    <row r="151" spans="1:2">
      <c r="A151" s="4">
        <v>44365</v>
      </c>
      <c r="B151">
        <v>1000</v>
      </c>
    </row>
    <row r="152" spans="1:2">
      <c r="A152" s="4">
        <v>44366</v>
      </c>
      <c r="B152">
        <v>2200</v>
      </c>
    </row>
    <row r="153" spans="1:2">
      <c r="A153" s="4">
        <v>44367</v>
      </c>
      <c r="B153">
        <v>3000</v>
      </c>
    </row>
    <row r="154" spans="1:2">
      <c r="A154" s="4">
        <v>44369</v>
      </c>
      <c r="B154">
        <v>3000</v>
      </c>
    </row>
    <row r="155" spans="1:2">
      <c r="A155" s="4">
        <v>44407</v>
      </c>
      <c r="B155">
        <v>20000</v>
      </c>
    </row>
    <row r="156" spans="1:2">
      <c r="A156" s="4">
        <v>44438</v>
      </c>
      <c r="B156">
        <v>200000</v>
      </c>
    </row>
    <row r="157" spans="1:2">
      <c r="A157" s="4">
        <v>44453</v>
      </c>
      <c r="B157">
        <v>10000</v>
      </c>
    </row>
    <row r="158" spans="1:2">
      <c r="A158" s="4">
        <v>44469</v>
      </c>
      <c r="B158">
        <v>5000</v>
      </c>
    </row>
    <row r="159" spans="1:2">
      <c r="A159" s="4">
        <v>44486</v>
      </c>
      <c r="B159">
        <v>5000</v>
      </c>
    </row>
    <row r="160" spans="1:2">
      <c r="A160" s="4">
        <v>44489</v>
      </c>
      <c r="B160">
        <v>30000</v>
      </c>
    </row>
    <row r="161" spans="1:5">
      <c r="A161" s="4">
        <v>44491</v>
      </c>
      <c r="B161">
        <v>300</v>
      </c>
    </row>
    <row r="162" spans="1:5">
      <c r="A162" s="4">
        <v>44508</v>
      </c>
      <c r="B162">
        <v>35000</v>
      </c>
    </row>
    <row r="163" spans="1:5">
      <c r="A163" s="4">
        <v>44508</v>
      </c>
      <c r="B163">
        <v>11700</v>
      </c>
    </row>
    <row r="164" spans="1:5">
      <c r="A164" s="4">
        <v>44545</v>
      </c>
      <c r="B164">
        <v>30000</v>
      </c>
    </row>
    <row r="165" spans="1:5">
      <c r="A165" s="4">
        <v>44566</v>
      </c>
      <c r="B165">
        <v>3000</v>
      </c>
    </row>
    <row r="166" spans="1:5">
      <c r="A166" s="4">
        <v>44567</v>
      </c>
      <c r="B166">
        <v>20000</v>
      </c>
    </row>
    <row r="167" spans="1:5">
      <c r="C167">
        <v>96.1</v>
      </c>
      <c r="D167">
        <v>24.5779</v>
      </c>
      <c r="E167">
        <v>2361.9360999999999</v>
      </c>
    </row>
    <row r="168" spans="1:5">
      <c r="C168">
        <v>95.1</v>
      </c>
      <c r="D168">
        <v>3.9426000000000001</v>
      </c>
      <c r="E168">
        <v>374.94119999999998</v>
      </c>
    </row>
    <row r="169" spans="1:5">
      <c r="C169">
        <v>95.1</v>
      </c>
      <c r="D169">
        <v>4.3247999999999998</v>
      </c>
      <c r="E169">
        <v>411.28840000000002</v>
      </c>
    </row>
    <row r="170" spans="1:5">
      <c r="C170">
        <v>95.1</v>
      </c>
      <c r="D170">
        <v>4.3247999999999998</v>
      </c>
      <c r="E170">
        <v>411.28840000000002</v>
      </c>
    </row>
    <row r="171" spans="1:5">
      <c r="C171">
        <v>95.1</v>
      </c>
      <c r="D171">
        <v>4.3247999999999998</v>
      </c>
      <c r="E171">
        <v>411.28840000000002</v>
      </c>
    </row>
    <row r="172" spans="1:5">
      <c r="C172">
        <v>95.1</v>
      </c>
      <c r="D172">
        <v>0.4798</v>
      </c>
      <c r="E172">
        <v>45.628900000000002</v>
      </c>
    </row>
    <row r="173" spans="1:5">
      <c r="C173">
        <v>95.1</v>
      </c>
      <c r="D173">
        <v>57.111800000000002</v>
      </c>
      <c r="E173">
        <v>5431.3320999999996</v>
      </c>
    </row>
    <row r="174" spans="1:5">
      <c r="A174" s="4">
        <v>44707</v>
      </c>
      <c r="B174">
        <v>30000</v>
      </c>
    </row>
    <row r="175" spans="1:5">
      <c r="C175">
        <v>54.9</v>
      </c>
      <c r="D175">
        <v>20</v>
      </c>
      <c r="E175">
        <v>1098</v>
      </c>
    </row>
    <row r="176" spans="1:5">
      <c r="C176">
        <v>52.41</v>
      </c>
      <c r="D176">
        <v>20</v>
      </c>
      <c r="E176">
        <v>1048.2</v>
      </c>
    </row>
  </sheetData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8A8F7-0D4B-4C54-99F2-93EB45882820}">
  <dimension ref="A1:AQ166"/>
  <sheetViews>
    <sheetView topLeftCell="F1" zoomScale="85" zoomScaleNormal="85" workbookViewId="0">
      <selection activeCell="E9" sqref="E9"/>
    </sheetView>
  </sheetViews>
  <sheetFormatPr defaultRowHeight="14.5"/>
  <cols>
    <col min="1" max="1" width="9.7265625" bestFit="1" customWidth="1"/>
    <col min="2" max="2" width="15.26953125" customWidth="1"/>
    <col min="3" max="3" width="14.81640625" bestFit="1" customWidth="1"/>
    <col min="5" max="5" width="14.81640625" bestFit="1" customWidth="1"/>
    <col min="6" max="6" width="14.81640625" customWidth="1"/>
    <col min="7" max="7" width="18.36328125" bestFit="1" customWidth="1"/>
    <col min="8" max="10" width="18.36328125" customWidth="1"/>
    <col min="11" max="11" width="19.453125" bestFit="1" customWidth="1"/>
    <col min="12" max="12" width="19.453125" customWidth="1"/>
    <col min="13" max="17" width="18.36328125" customWidth="1"/>
    <col min="18" max="18" width="17" bestFit="1" customWidth="1"/>
    <col min="19" max="19" width="17.453125" bestFit="1" customWidth="1"/>
    <col min="20" max="20" width="18.36328125" customWidth="1"/>
    <col min="21" max="21" width="17" bestFit="1" customWidth="1"/>
    <col min="22" max="22" width="17" customWidth="1"/>
    <col min="23" max="23" width="14" bestFit="1" customWidth="1"/>
    <col min="24" max="24" width="16.6328125" bestFit="1" customWidth="1"/>
    <col min="25" max="25" width="17.08984375" bestFit="1" customWidth="1"/>
    <col min="26" max="28" width="16.81640625" customWidth="1"/>
    <col min="29" max="31" width="19.54296875" customWidth="1"/>
    <col min="32" max="32" width="15.08984375" bestFit="1" customWidth="1"/>
    <col min="33" max="33" width="17.7265625" bestFit="1" customWidth="1"/>
    <col min="34" max="34" width="18.26953125" bestFit="1" customWidth="1"/>
    <col min="35" max="35" width="14" bestFit="1" customWidth="1"/>
    <col min="36" max="36" width="16.54296875" bestFit="1" customWidth="1"/>
    <col min="37" max="37" width="17.08984375" bestFit="1" customWidth="1"/>
    <col min="38" max="38" width="15.1796875" bestFit="1" customWidth="1"/>
    <col min="39" max="39" width="17.81640625" bestFit="1" customWidth="1"/>
    <col min="40" max="40" width="18.36328125" bestFit="1" customWidth="1"/>
    <col min="41" max="41" width="8.6328125" bestFit="1" customWidth="1"/>
    <col min="42" max="42" width="13" bestFit="1" customWidth="1"/>
    <col min="43" max="43" width="15.90625" bestFit="1" customWidth="1"/>
    <col min="44" max="44" width="9.7265625" bestFit="1" customWidth="1"/>
    <col min="45" max="45" width="14.1796875" bestFit="1" customWidth="1"/>
    <col min="46" max="46" width="15.90625" bestFit="1" customWidth="1"/>
  </cols>
  <sheetData>
    <row r="1" spans="1:43">
      <c r="B1" t="s">
        <v>27</v>
      </c>
      <c r="C1" s="12">
        <f>C2-B2</f>
        <v>-40846</v>
      </c>
      <c r="E1" t="s">
        <v>63</v>
      </c>
      <c r="F1" t="s">
        <v>62</v>
      </c>
      <c r="G1" t="s">
        <v>64</v>
      </c>
      <c r="H1" s="5" t="s">
        <v>65</v>
      </c>
      <c r="I1" t="s">
        <v>75</v>
      </c>
      <c r="J1" t="s">
        <v>76</v>
      </c>
      <c r="K1" t="s">
        <v>77</v>
      </c>
      <c r="L1" s="5" t="s">
        <v>93</v>
      </c>
      <c r="M1" t="s">
        <v>72</v>
      </c>
      <c r="N1" t="s">
        <v>73</v>
      </c>
      <c r="O1" t="s">
        <v>74</v>
      </c>
      <c r="P1" s="5" t="s">
        <v>94</v>
      </c>
      <c r="Q1" t="s">
        <v>67</v>
      </c>
      <c r="R1" t="s">
        <v>66</v>
      </c>
      <c r="S1" s="23" t="s">
        <v>78</v>
      </c>
      <c r="T1" t="s">
        <v>68</v>
      </c>
      <c r="U1" t="s">
        <v>69</v>
      </c>
      <c r="V1" s="23" t="s">
        <v>79</v>
      </c>
      <c r="W1" t="s">
        <v>70</v>
      </c>
      <c r="X1" t="s">
        <v>71</v>
      </c>
      <c r="Y1" s="23" t="s">
        <v>80</v>
      </c>
      <c r="Z1" t="s">
        <v>81</v>
      </c>
      <c r="AA1" t="s">
        <v>82</v>
      </c>
      <c r="AB1" s="18" t="s">
        <v>83</v>
      </c>
      <c r="AC1" t="s">
        <v>84</v>
      </c>
      <c r="AD1" t="s">
        <v>85</v>
      </c>
      <c r="AE1" s="18" t="s">
        <v>86</v>
      </c>
      <c r="AF1" t="s">
        <v>87</v>
      </c>
      <c r="AG1" t="s">
        <v>88</v>
      </c>
      <c r="AH1" s="18" t="s">
        <v>89</v>
      </c>
      <c r="AI1" t="s">
        <v>90</v>
      </c>
      <c r="AJ1" t="s">
        <v>91</v>
      </c>
      <c r="AK1" s="24" t="s">
        <v>92</v>
      </c>
      <c r="AL1" t="s">
        <v>95</v>
      </c>
      <c r="AM1" t="s">
        <v>96</v>
      </c>
      <c r="AN1" s="24" t="s">
        <v>97</v>
      </c>
      <c r="AO1" t="s">
        <v>98</v>
      </c>
      <c r="AP1" t="s">
        <v>99</v>
      </c>
      <c r="AQ1" t="s">
        <v>100</v>
      </c>
    </row>
    <row r="2" spans="1:43">
      <c r="A2" t="s">
        <v>34</v>
      </c>
      <c r="B2" s="12">
        <f>SUM(B3:B1000)</f>
        <v>120000</v>
      </c>
      <c r="C2">
        <v>79154</v>
      </c>
      <c r="D2" s="13">
        <f>(C2-B2)/B2</f>
        <v>-0.34038333333333332</v>
      </c>
      <c r="E2" s="20">
        <v>5000</v>
      </c>
      <c r="F2" s="20">
        <v>0.32153884999999999</v>
      </c>
      <c r="G2" s="20">
        <f>E2/F2</f>
        <v>15550.220447700178</v>
      </c>
      <c r="H2" s="20">
        <f>SUM(E2:E200)/SUM(F2:F200)</f>
        <v>15172.002136868672</v>
      </c>
      <c r="I2" s="12">
        <v>30000</v>
      </c>
      <c r="J2" s="20">
        <v>890.47</v>
      </c>
      <c r="K2" s="20">
        <f>I2/J2</f>
        <v>33.690073781261582</v>
      </c>
      <c r="L2" s="20">
        <f>SUM(I2:I200)/SUM(J2:J200)</f>
        <v>33.690073781261582</v>
      </c>
      <c r="M2" s="12">
        <v>7970.71</v>
      </c>
      <c r="N2" s="20">
        <v>236.30922027</v>
      </c>
      <c r="O2" s="20">
        <f>M2/N2</f>
        <v>33.730000001239475</v>
      </c>
      <c r="P2" s="20">
        <f>SUM(M2:M200)/SUM(N2:N200)</f>
        <v>34.019475931005658</v>
      </c>
      <c r="Q2" s="22">
        <v>0.15984999999999999</v>
      </c>
      <c r="R2" s="20">
        <v>0.92</v>
      </c>
      <c r="S2" s="22">
        <f>SUMPRODUCT(Q2:Q200,R2:R200)/SUM(R2:R200)</f>
        <v>0.1599245901639344</v>
      </c>
      <c r="T2" s="22">
        <v>0.1618</v>
      </c>
      <c r="U2" s="20">
        <v>0.47</v>
      </c>
      <c r="V2" s="22">
        <f>SUMPRODUCT(T2:T200,U2:U200)/SUM(U2:U200)</f>
        <v>0.16042049999999999</v>
      </c>
      <c r="W2" s="22">
        <v>2.3480000000000001E-2</v>
      </c>
      <c r="X2" s="20">
        <v>4.99</v>
      </c>
      <c r="Y2" s="22">
        <f>SUMPRODUCT(W2:W200,X2:X200)/SUM(X2:X200)</f>
        <v>2.3480000000000001E-2</v>
      </c>
      <c r="Z2" s="22">
        <v>72.349999999999994</v>
      </c>
      <c r="AA2" s="22">
        <v>2</v>
      </c>
      <c r="AB2" s="22">
        <f>SUMPRODUCT(Z2:Z200,AA2:AA200)/SUM(AA2:AA200)</f>
        <v>72.311428571428564</v>
      </c>
      <c r="AC2" s="22">
        <v>10.72</v>
      </c>
      <c r="AD2" s="22">
        <v>5</v>
      </c>
      <c r="AE2" s="22">
        <f>SUMPRODUCT(AC2:AC200,AD2:AD200)/SUM(AD2:AD200)</f>
        <v>10.733499999999999</v>
      </c>
      <c r="AF2" s="22">
        <v>470</v>
      </c>
      <c r="AG2" s="22">
        <v>0.247</v>
      </c>
      <c r="AH2" s="22">
        <f>SUMPRODUCT(AF2:AF200,AG2:AG200)/SUM(AG2:AG200)</f>
        <v>469.84210526315792</v>
      </c>
      <c r="AI2" s="22">
        <v>63.5</v>
      </c>
      <c r="AJ2" s="22">
        <v>1</v>
      </c>
      <c r="AK2" s="22">
        <f>SUMPRODUCT(AI2:AI201,AJ2:AJ201)/SUM(AJ2:AJ201)</f>
        <v>42.099494848786989</v>
      </c>
      <c r="AL2" s="22">
        <v>7.6</v>
      </c>
      <c r="AM2" s="22">
        <v>5</v>
      </c>
      <c r="AN2" s="22">
        <f>SUMPRODUCT(AL2:AL200,AM2:AM200)/SUM(AM2:AM200)</f>
        <v>6.8412492456246223</v>
      </c>
      <c r="AO2" s="25">
        <f>SUM(U2:U100)+SUM(AA2:AA100)+SUM(AJ2:AJ100)</f>
        <v>39.089999999999989</v>
      </c>
      <c r="AP2" s="26">
        <f>SUM(T2:T100)*H2+SUM(Z2:Z100)*L2+SUM(AI2:AI100)*P2</f>
        <v>83133.541905554186</v>
      </c>
      <c r="AQ2">
        <f>AP2/AO2</f>
        <v>2126.7214608737327</v>
      </c>
    </row>
    <row r="3" spans="1:43">
      <c r="A3" s="4">
        <v>44568</v>
      </c>
      <c r="B3" s="12">
        <v>5000</v>
      </c>
      <c r="E3" s="20">
        <v>1376.86</v>
      </c>
      <c r="F3" s="20">
        <v>9.2342750000000001E-2</v>
      </c>
      <c r="G3" s="20">
        <f>E3/F3</f>
        <v>14910.320517853323</v>
      </c>
      <c r="H3" s="20"/>
      <c r="I3" s="20"/>
      <c r="J3" s="20"/>
      <c r="K3" s="20"/>
      <c r="L3" s="20"/>
      <c r="M3" s="12">
        <v>10000</v>
      </c>
      <c r="N3" s="20">
        <v>296.55990509999998</v>
      </c>
      <c r="O3" s="20">
        <f>M3/N3</f>
        <v>33.720000000094416</v>
      </c>
      <c r="P3" s="20"/>
      <c r="Q3" s="20">
        <v>0.16</v>
      </c>
      <c r="R3" s="20">
        <v>0.91</v>
      </c>
      <c r="S3" s="20"/>
      <c r="T3" s="20">
        <v>0.1615</v>
      </c>
      <c r="U3" s="20">
        <v>0.53</v>
      </c>
      <c r="V3" s="20"/>
      <c r="W3" s="20">
        <v>2.3480000000000001E-2</v>
      </c>
      <c r="X3" s="20">
        <v>0.01</v>
      </c>
      <c r="Y3" s="20"/>
      <c r="Z3" s="20">
        <v>72.319999999999993</v>
      </c>
      <c r="AA3" s="20">
        <v>1.46</v>
      </c>
      <c r="AC3" s="20">
        <v>10.76</v>
      </c>
      <c r="AD3" s="20">
        <v>2</v>
      </c>
      <c r="AF3" s="20">
        <v>469.5</v>
      </c>
      <c r="AG3" s="20">
        <v>0.114</v>
      </c>
      <c r="AI3" s="20">
        <v>62.85</v>
      </c>
      <c r="AJ3" s="20">
        <v>2</v>
      </c>
      <c r="AL3" s="20">
        <v>7.6</v>
      </c>
      <c r="AM3" s="20">
        <v>4.71</v>
      </c>
    </row>
    <row r="4" spans="1:43">
      <c r="A4" s="4">
        <v>44571</v>
      </c>
      <c r="B4" s="12">
        <v>1376.86</v>
      </c>
      <c r="C4" s="13"/>
      <c r="E4" s="21">
        <v>3000</v>
      </c>
      <c r="F4" s="21">
        <v>0.20107238</v>
      </c>
      <c r="G4" s="20">
        <f>E4/F4</f>
        <v>14920.000449589348</v>
      </c>
      <c r="H4" s="20"/>
      <c r="I4" s="20"/>
      <c r="J4" s="20"/>
      <c r="K4" s="20"/>
      <c r="L4" s="20"/>
      <c r="M4" s="20">
        <v>5000</v>
      </c>
      <c r="N4" s="20">
        <v>151.97568389</v>
      </c>
      <c r="O4" s="20">
        <v>32.9</v>
      </c>
      <c r="P4" s="20"/>
      <c r="Q4" s="21"/>
      <c r="R4" s="21"/>
      <c r="S4" s="21"/>
      <c r="T4" s="21">
        <v>0.15920000000000001</v>
      </c>
      <c r="U4" s="21">
        <v>1</v>
      </c>
      <c r="V4" s="21"/>
      <c r="Z4">
        <v>72.319999999999993</v>
      </c>
      <c r="AA4">
        <v>0.54</v>
      </c>
      <c r="AC4">
        <v>10.75</v>
      </c>
      <c r="AD4">
        <v>3</v>
      </c>
      <c r="AI4">
        <v>52.7</v>
      </c>
      <c r="AJ4">
        <v>0.38</v>
      </c>
      <c r="AL4">
        <v>7.58</v>
      </c>
      <c r="AM4">
        <v>3.74</v>
      </c>
    </row>
    <row r="5" spans="1:43">
      <c r="A5" s="4">
        <v>44571</v>
      </c>
      <c r="B5" s="12">
        <v>3000</v>
      </c>
      <c r="C5" s="13"/>
      <c r="E5" s="21">
        <v>2240</v>
      </c>
      <c r="F5" s="21">
        <v>0.15013404</v>
      </c>
      <c r="G5" s="20">
        <f>E5/F5</f>
        <v>14920.000820600046</v>
      </c>
      <c r="H5" s="20"/>
      <c r="I5" s="20"/>
      <c r="J5" s="20"/>
      <c r="K5" s="20"/>
      <c r="L5" s="20"/>
      <c r="M5" s="20">
        <v>5000</v>
      </c>
      <c r="N5" s="20">
        <v>148.85382554</v>
      </c>
      <c r="O5" s="20">
        <v>33.590000000000003</v>
      </c>
      <c r="P5" s="20"/>
      <c r="Q5" s="21"/>
      <c r="T5" s="21"/>
      <c r="Z5">
        <v>72.28</v>
      </c>
      <c r="AA5">
        <v>3</v>
      </c>
      <c r="AC5">
        <v>10.74</v>
      </c>
      <c r="AD5">
        <v>5</v>
      </c>
      <c r="AI5">
        <v>53.15</v>
      </c>
      <c r="AJ5">
        <v>1</v>
      </c>
      <c r="AL5">
        <v>7.58</v>
      </c>
      <c r="AM5">
        <v>2</v>
      </c>
    </row>
    <row r="6" spans="1:43">
      <c r="A6" s="4">
        <v>44571</v>
      </c>
      <c r="B6" s="12">
        <v>2240</v>
      </c>
      <c r="E6" s="21">
        <v>412.43</v>
      </c>
      <c r="F6" s="21">
        <v>2.7773059999999999E-2</v>
      </c>
      <c r="G6" s="20">
        <f>E6/F6</f>
        <v>14850.002124360803</v>
      </c>
      <c r="H6" s="20"/>
      <c r="I6" s="20"/>
      <c r="J6" s="20"/>
      <c r="K6" s="20"/>
      <c r="L6" s="20"/>
      <c r="M6" s="20">
        <v>5000</v>
      </c>
      <c r="N6" s="20">
        <v>148.98688915</v>
      </c>
      <c r="O6" s="20">
        <v>33.56</v>
      </c>
      <c r="P6" s="20"/>
      <c r="AC6">
        <v>10.72</v>
      </c>
      <c r="AD6">
        <v>5</v>
      </c>
      <c r="AI6">
        <v>53</v>
      </c>
      <c r="AJ6">
        <v>1</v>
      </c>
      <c r="AL6">
        <v>6.39</v>
      </c>
      <c r="AM6">
        <v>12.44</v>
      </c>
    </row>
    <row r="7" spans="1:43">
      <c r="A7" s="4">
        <v>44571</v>
      </c>
      <c r="B7" s="12">
        <v>412.43</v>
      </c>
      <c r="M7" s="20">
        <v>5000</v>
      </c>
      <c r="N7" s="20">
        <v>149.16467779999999</v>
      </c>
      <c r="O7" s="20">
        <v>33.520000000000003</v>
      </c>
      <c r="AI7">
        <v>48.3</v>
      </c>
      <c r="AJ7">
        <v>1.5</v>
      </c>
      <c r="AL7">
        <v>8.91</v>
      </c>
      <c r="AM7">
        <v>1.97</v>
      </c>
    </row>
    <row r="8" spans="1:43">
      <c r="A8" s="4">
        <v>44580</v>
      </c>
      <c r="B8" s="12">
        <v>30000</v>
      </c>
      <c r="M8" s="20">
        <v>30000</v>
      </c>
      <c r="N8" s="25">
        <v>869.81733835</v>
      </c>
      <c r="O8" s="20">
        <v>34.49</v>
      </c>
      <c r="AI8">
        <v>65.62</v>
      </c>
      <c r="AJ8">
        <v>2</v>
      </c>
      <c r="AL8">
        <v>7.5</v>
      </c>
      <c r="AM8">
        <v>2.42</v>
      </c>
    </row>
    <row r="9" spans="1:43">
      <c r="A9" s="4">
        <v>44582</v>
      </c>
      <c r="B9" s="12">
        <v>7970.71</v>
      </c>
      <c r="M9" s="20">
        <v>10000</v>
      </c>
      <c r="N9" s="25">
        <v>290.27576197000002</v>
      </c>
      <c r="O9" s="20">
        <v>34.450000000000003</v>
      </c>
      <c r="AI9">
        <v>64.52</v>
      </c>
      <c r="AJ9">
        <v>0.2</v>
      </c>
      <c r="AL9">
        <v>7.2</v>
      </c>
      <c r="AM9">
        <v>8</v>
      </c>
    </row>
    <row r="10" spans="1:43">
      <c r="A10" s="4">
        <v>44592</v>
      </c>
      <c r="B10" s="12">
        <v>10000</v>
      </c>
      <c r="AI10">
        <v>64.430000000000007</v>
      </c>
      <c r="AJ10">
        <v>0.2</v>
      </c>
      <c r="AL10">
        <v>5.3</v>
      </c>
      <c r="AM10">
        <v>9.43</v>
      </c>
    </row>
    <row r="11" spans="1:43">
      <c r="A11" s="4">
        <v>44620</v>
      </c>
      <c r="B11" s="12">
        <v>5000</v>
      </c>
      <c r="AI11">
        <v>64.16</v>
      </c>
      <c r="AJ11">
        <v>0.2</v>
      </c>
    </row>
    <row r="12" spans="1:43">
      <c r="A12" s="4">
        <v>44651</v>
      </c>
      <c r="B12" s="12">
        <v>5000</v>
      </c>
      <c r="AI12">
        <v>64.3</v>
      </c>
      <c r="AJ12">
        <v>0.2</v>
      </c>
    </row>
    <row r="13" spans="1:43">
      <c r="A13" s="4">
        <v>44656</v>
      </c>
      <c r="B13" s="12">
        <v>5000</v>
      </c>
      <c r="AI13">
        <v>64.260000000000005</v>
      </c>
      <c r="AJ13">
        <v>0.2</v>
      </c>
    </row>
    <row r="14" spans="1:43">
      <c r="A14" s="4">
        <v>44656</v>
      </c>
      <c r="B14" s="12">
        <v>5000</v>
      </c>
      <c r="AI14">
        <v>64</v>
      </c>
      <c r="AJ14">
        <v>0.2</v>
      </c>
    </row>
    <row r="15" spans="1:43">
      <c r="A15" s="4">
        <v>44680</v>
      </c>
      <c r="B15" s="12">
        <v>30000</v>
      </c>
      <c r="AI15">
        <v>63.95</v>
      </c>
      <c r="AJ15">
        <v>0.2</v>
      </c>
    </row>
    <row r="16" spans="1:43">
      <c r="A16" s="4">
        <v>44683</v>
      </c>
      <c r="B16" s="12">
        <v>10000</v>
      </c>
      <c r="AI16">
        <v>63.82</v>
      </c>
      <c r="AJ16">
        <v>0.2</v>
      </c>
    </row>
    <row r="17" spans="1:36">
      <c r="AI17">
        <v>64.19</v>
      </c>
      <c r="AJ17">
        <v>0.2</v>
      </c>
    </row>
    <row r="18" spans="1:36">
      <c r="AI18">
        <v>63.82</v>
      </c>
      <c r="AJ18">
        <v>0.4</v>
      </c>
    </row>
    <row r="19" spans="1:36">
      <c r="AI19">
        <v>63.67</v>
      </c>
      <c r="AJ19">
        <v>0.2</v>
      </c>
    </row>
    <row r="20" spans="1:36">
      <c r="AI20" s="5">
        <v>63.3</v>
      </c>
      <c r="AJ20" s="5">
        <v>0.2</v>
      </c>
    </row>
    <row r="21" spans="1:36">
      <c r="AI21">
        <v>62.39</v>
      </c>
      <c r="AJ21">
        <v>0.2</v>
      </c>
    </row>
    <row r="22" spans="1:36">
      <c r="AI22">
        <v>62.35</v>
      </c>
      <c r="AJ22">
        <v>0.2</v>
      </c>
    </row>
    <row r="23" spans="1:36">
      <c r="AI23">
        <v>62.29</v>
      </c>
      <c r="AJ23">
        <v>0.2</v>
      </c>
    </row>
    <row r="24" spans="1:36">
      <c r="AI24">
        <v>62.37</v>
      </c>
      <c r="AJ24">
        <v>0.2</v>
      </c>
    </row>
    <row r="25" spans="1:36">
      <c r="AI25">
        <v>62.31</v>
      </c>
      <c r="AJ25">
        <v>0.2</v>
      </c>
    </row>
    <row r="26" spans="1:36">
      <c r="AI26">
        <v>62.18</v>
      </c>
      <c r="AJ26">
        <v>0.2</v>
      </c>
    </row>
    <row r="27" spans="1:36">
      <c r="AI27">
        <v>62.07</v>
      </c>
      <c r="AJ27">
        <v>0.2</v>
      </c>
    </row>
    <row r="28" spans="1:36">
      <c r="A28" s="4"/>
      <c r="AI28">
        <v>61.98</v>
      </c>
      <c r="AJ28">
        <v>0.2</v>
      </c>
    </row>
    <row r="29" spans="1:36">
      <c r="AI29">
        <v>61.93</v>
      </c>
      <c r="AJ29">
        <v>0.2</v>
      </c>
    </row>
    <row r="30" spans="1:36">
      <c r="AI30">
        <v>53.7</v>
      </c>
      <c r="AJ30">
        <v>0.37</v>
      </c>
    </row>
    <row r="31" spans="1:36">
      <c r="AI31">
        <v>34</v>
      </c>
      <c r="AJ31">
        <v>3</v>
      </c>
    </row>
    <row r="32" spans="1:36">
      <c r="AI32">
        <v>30.35</v>
      </c>
      <c r="AJ32">
        <v>3</v>
      </c>
    </row>
    <row r="33" spans="1:36">
      <c r="AI33">
        <v>26.5</v>
      </c>
      <c r="AJ33">
        <v>4</v>
      </c>
    </row>
    <row r="34" spans="1:36">
      <c r="AI34">
        <v>23.59</v>
      </c>
      <c r="AJ34">
        <v>2.12</v>
      </c>
    </row>
    <row r="35" spans="1:36">
      <c r="AI35">
        <v>23.3</v>
      </c>
      <c r="AJ35">
        <v>1.32</v>
      </c>
    </row>
    <row r="36" spans="1:36">
      <c r="AI36">
        <v>23.2</v>
      </c>
      <c r="AJ36">
        <v>3</v>
      </c>
    </row>
    <row r="38" spans="1:36">
      <c r="A38" s="4"/>
    </row>
    <row r="43" spans="1:36">
      <c r="A43" s="4"/>
    </row>
    <row r="46" spans="1:36">
      <c r="A46" s="4"/>
    </row>
    <row r="47" spans="1:36">
      <c r="A47" s="4"/>
    </row>
    <row r="50" spans="1:1">
      <c r="A50" s="4"/>
    </row>
    <row r="52" spans="1:1">
      <c r="A52" s="4"/>
    </row>
    <row r="55" spans="1:1">
      <c r="A55" s="4"/>
    </row>
    <row r="64" spans="1:1">
      <c r="A64" s="4"/>
    </row>
    <row r="75" spans="1:1">
      <c r="A75" s="4"/>
    </row>
    <row r="81" spans="1:2">
      <c r="A81" s="4"/>
    </row>
    <row r="82" spans="1:2">
      <c r="A82" s="4"/>
    </row>
    <row r="83" spans="1:2">
      <c r="A83" s="4"/>
    </row>
    <row r="90" spans="1:2">
      <c r="A90" s="4"/>
    </row>
    <row r="132" spans="1:2">
      <c r="A132" s="4"/>
    </row>
    <row r="133" spans="1:2">
      <c r="A133" s="4"/>
    </row>
    <row r="134" spans="1:2">
      <c r="A134" s="4"/>
    </row>
    <row r="135" spans="1:2">
      <c r="A135" s="4"/>
    </row>
    <row r="136" spans="1:2">
      <c r="A136" s="4"/>
    </row>
    <row r="137" spans="1:2">
      <c r="A137" s="4"/>
    </row>
    <row r="138" spans="1:2">
      <c r="A138" s="4"/>
    </row>
    <row r="139" spans="1:2">
      <c r="A139" s="4"/>
    </row>
    <row r="140" spans="1:2">
      <c r="A140" s="4"/>
    </row>
    <row r="141" spans="1:2">
      <c r="A141" s="4"/>
    </row>
    <row r="142" spans="1:2">
      <c r="A142" s="4"/>
    </row>
    <row r="143" spans="1:2">
      <c r="A143" s="4"/>
    </row>
    <row r="144" spans="1:2">
      <c r="A144" s="4"/>
    </row>
    <row r="145" spans="1:2">
      <c r="A145" s="4"/>
    </row>
    <row r="146" spans="1:2">
      <c r="A146" s="4"/>
    </row>
    <row r="147" spans="1:2">
      <c r="A147" s="4"/>
    </row>
    <row r="148" spans="1:2">
      <c r="A148" s="4"/>
    </row>
    <row r="149" spans="1:2">
      <c r="A149" s="4"/>
    </row>
    <row r="150" spans="1:2">
      <c r="A150" s="4"/>
    </row>
    <row r="151" spans="1:2">
      <c r="A151" s="4"/>
    </row>
    <row r="152" spans="1:2">
      <c r="A152" s="4"/>
    </row>
    <row r="153" spans="1:2">
      <c r="A153" s="4"/>
    </row>
    <row r="154" spans="1:2">
      <c r="A154" s="4"/>
    </row>
    <row r="155" spans="1:2">
      <c r="A155" s="4"/>
    </row>
    <row r="156" spans="1:2">
      <c r="A156" s="4"/>
    </row>
    <row r="157" spans="1:2">
      <c r="A157" s="4"/>
    </row>
    <row r="158" spans="1:2">
      <c r="A158" s="4"/>
    </row>
    <row r="159" spans="1:2">
      <c r="A159" s="4"/>
    </row>
    <row r="160" spans="1:2">
      <c r="A160" s="4"/>
    </row>
    <row r="161" spans="1:2">
      <c r="A161" s="4"/>
    </row>
    <row r="162" spans="1:2">
      <c r="A162" s="4"/>
    </row>
    <row r="163" spans="1:2">
      <c r="A163" s="4"/>
    </row>
    <row r="164" spans="1:2">
      <c r="A164" s="4"/>
    </row>
    <row r="165" spans="1:2">
      <c r="A165" s="4"/>
    </row>
    <row r="166" spans="1:2">
      <c r="A166" s="4"/>
    </row>
  </sheetData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8A7B6-BBEF-4BED-9505-B3D2EB182715}">
  <dimension ref="A1:BP507"/>
  <sheetViews>
    <sheetView zoomScale="77" zoomScaleNormal="70" workbookViewId="0">
      <pane xSplit="1" ySplit="4" topLeftCell="B496" activePane="bottomRight" state="frozen"/>
      <selection pane="topRight" activeCell="B1" sqref="B1"/>
      <selection pane="bottomLeft" activeCell="A3" sqref="A3"/>
      <selection pane="bottomRight" activeCell="A512" sqref="A512"/>
    </sheetView>
  </sheetViews>
  <sheetFormatPr defaultRowHeight="14.5"/>
  <cols>
    <col min="1" max="1" width="10.90625" customWidth="1"/>
    <col min="2" max="2" width="9.7265625" bestFit="1" customWidth="1"/>
    <col min="3" max="3" width="9.7265625" customWidth="1"/>
    <col min="4" max="4" width="9.453125" bestFit="1" customWidth="1"/>
    <col min="5" max="5" width="11.26953125" bestFit="1" customWidth="1"/>
    <col min="6" max="6" width="12.26953125" bestFit="1" customWidth="1"/>
    <col min="7" max="8" width="13.6328125" customWidth="1"/>
    <col min="9" max="9" width="11.26953125" bestFit="1" customWidth="1"/>
    <col min="10" max="10" width="11.1796875" bestFit="1" customWidth="1"/>
    <col min="11" max="11" width="11.1796875" customWidth="1"/>
    <col min="12" max="12" width="12.36328125" bestFit="1" customWidth="1"/>
    <col min="13" max="13" width="12.36328125" customWidth="1"/>
    <col min="14" max="14" width="14" bestFit="1" customWidth="1"/>
    <col min="15" max="15" width="11.54296875" bestFit="1" customWidth="1"/>
    <col min="16" max="16" width="8.54296875" customWidth="1"/>
    <col min="17" max="17" width="10.36328125" customWidth="1"/>
    <col min="18" max="18" width="14.54296875" bestFit="1" customWidth="1"/>
    <col min="19" max="19" width="8.453125" customWidth="1"/>
    <col min="20" max="20" width="11.54296875" customWidth="1"/>
    <col min="21" max="21" width="16.54296875" customWidth="1"/>
    <col min="22" max="22" width="15.26953125" bestFit="1" customWidth="1"/>
    <col min="23" max="23" width="16.08984375" bestFit="1" customWidth="1"/>
    <col min="24" max="26" width="15.26953125" customWidth="1"/>
    <col min="27" max="28" width="13.90625" customWidth="1"/>
    <col min="29" max="30" width="15.1796875" customWidth="1"/>
    <col min="31" max="31" width="15.36328125" customWidth="1"/>
    <col min="32" max="32" width="12.7265625" customWidth="1"/>
    <col min="33" max="33" width="14.26953125" customWidth="1"/>
    <col min="34" max="34" width="12.7265625" customWidth="1"/>
    <col min="37" max="37" width="9.6328125" bestFit="1" customWidth="1"/>
    <col min="39" max="39" width="10.90625" bestFit="1" customWidth="1"/>
    <col min="40" max="40" width="13.7265625" bestFit="1" customWidth="1"/>
    <col min="41" max="41" width="11.26953125" bestFit="1" customWidth="1"/>
    <col min="43" max="43" width="14.6328125" bestFit="1" customWidth="1"/>
    <col min="44" max="44" width="15.08984375" bestFit="1" customWidth="1"/>
    <col min="45" max="45" width="15.6328125" bestFit="1" customWidth="1"/>
    <col min="46" max="46" width="15.6328125" customWidth="1"/>
    <col min="47" max="47" width="12.36328125" bestFit="1" customWidth="1"/>
    <col min="48" max="48" width="8.81640625" bestFit="1" customWidth="1"/>
    <col min="49" max="49" width="14.6328125" bestFit="1" customWidth="1"/>
    <col min="50" max="50" width="8.453125" bestFit="1" customWidth="1"/>
    <col min="52" max="52" width="10.90625" customWidth="1"/>
    <col min="53" max="53" width="10.453125" bestFit="1" customWidth="1"/>
    <col min="54" max="55" width="13.36328125" bestFit="1" customWidth="1"/>
    <col min="56" max="56" width="11.36328125" bestFit="1" customWidth="1"/>
    <col min="57" max="57" width="9.08984375" bestFit="1" customWidth="1"/>
    <col min="63" max="63" width="15.81640625" bestFit="1" customWidth="1"/>
    <col min="64" max="64" width="8.26953125" bestFit="1" customWidth="1"/>
    <col min="65" max="65" width="10.453125" bestFit="1" customWidth="1"/>
  </cols>
  <sheetData>
    <row r="1" spans="1:68">
      <c r="L1">
        <v>10</v>
      </c>
      <c r="N1">
        <v>10</v>
      </c>
      <c r="AD1">
        <v>10</v>
      </c>
      <c r="AG1">
        <v>15</v>
      </c>
      <c r="AK1">
        <v>15</v>
      </c>
      <c r="AQ1">
        <f>400000*0.2</f>
        <v>80000</v>
      </c>
      <c r="AR1">
        <f>400000*0.25</f>
        <v>100000</v>
      </c>
      <c r="AS1">
        <v>100000</v>
      </c>
      <c r="AV1">
        <f>400000*0.25</f>
        <v>100000</v>
      </c>
      <c r="AW1">
        <f>400000*0.15</f>
        <v>60000</v>
      </c>
      <c r="AX1">
        <f>400000*0.15</f>
        <v>60000</v>
      </c>
      <c r="BB1">
        <v>10</v>
      </c>
      <c r="BD1">
        <v>10</v>
      </c>
      <c r="BF1" s="32">
        <f>AK1+AS1</f>
        <v>100015</v>
      </c>
      <c r="BG1" s="32">
        <f>N1+AG1</f>
        <v>25</v>
      </c>
      <c r="BH1" s="32">
        <f>BD1+BB1+AV1+AD1+O1+L1</f>
        <v>100040</v>
      </c>
      <c r="BI1">
        <f>SUM(L1:BD1)</f>
        <v>500080</v>
      </c>
    </row>
    <row r="2" spans="1:68">
      <c r="B2" s="27" t="s">
        <v>14</v>
      </c>
      <c r="C2" s="27"/>
      <c r="D2" s="27"/>
      <c r="E2" s="27"/>
      <c r="F2" s="27" t="s">
        <v>18</v>
      </c>
      <c r="G2" s="27"/>
      <c r="H2" s="27"/>
      <c r="I2" s="27"/>
      <c r="J2" s="27"/>
      <c r="K2" s="27"/>
      <c r="L2" s="27">
        <f>L1/100*$BI$2</f>
        <v>3350</v>
      </c>
      <c r="M2" s="27"/>
      <c r="N2" s="27">
        <f>N1/100*$BI$2</f>
        <v>3350</v>
      </c>
      <c r="O2" s="27"/>
      <c r="P2" s="55" t="s">
        <v>19</v>
      </c>
      <c r="Q2" s="55"/>
      <c r="R2" s="55"/>
      <c r="S2" s="55"/>
      <c r="T2" s="27"/>
      <c r="U2" s="27"/>
      <c r="V2" s="27"/>
      <c r="W2" s="27"/>
      <c r="X2" s="27"/>
      <c r="Y2" s="27"/>
      <c r="Z2" s="27"/>
      <c r="AA2" s="27">
        <v>5000</v>
      </c>
      <c r="AB2" s="27"/>
      <c r="AC2" s="27"/>
      <c r="AD2" s="27">
        <f>AD1/100*$BI$2</f>
        <v>3350</v>
      </c>
      <c r="AE2" s="27"/>
      <c r="AF2" s="27"/>
      <c r="AG2" s="27">
        <f>AG1/100*$BI$2</f>
        <v>5025</v>
      </c>
      <c r="AH2" s="27"/>
      <c r="AI2" s="27"/>
      <c r="AJ2" s="27"/>
      <c r="AK2" s="27">
        <f>AK1/100*$BI$2</f>
        <v>5025</v>
      </c>
      <c r="AL2" s="27"/>
      <c r="AM2" s="27"/>
      <c r="AN2" s="27"/>
      <c r="AO2" s="27"/>
      <c r="AP2" s="27"/>
      <c r="AQ2" s="27">
        <v>20</v>
      </c>
      <c r="AR2" s="27">
        <v>25</v>
      </c>
      <c r="AS2" s="27">
        <v>100</v>
      </c>
      <c r="AT2" s="27"/>
      <c r="AU2" s="27"/>
      <c r="AV2" s="27">
        <v>25</v>
      </c>
      <c r="AW2" s="27">
        <v>15</v>
      </c>
      <c r="AX2" s="27">
        <v>15</v>
      </c>
      <c r="AY2" s="27"/>
      <c r="AZ2" s="27"/>
      <c r="BA2" s="27"/>
      <c r="BB2" s="27">
        <f>BB1/100*$BI$2</f>
        <v>3350</v>
      </c>
      <c r="BC2" s="27"/>
      <c r="BD2" s="27">
        <f>BD1/100*$BI$2</f>
        <v>3350</v>
      </c>
      <c r="BE2" t="s">
        <v>110</v>
      </c>
      <c r="BF2">
        <f>BF1/100*$BI$2</f>
        <v>33505025</v>
      </c>
      <c r="BG2">
        <f>BG1/100*$BI$2</f>
        <v>8375</v>
      </c>
      <c r="BH2">
        <f>BH1/100*$BI$2</f>
        <v>33513400</v>
      </c>
      <c r="BI2">
        <v>33500</v>
      </c>
      <c r="BK2">
        <f>AA235</f>
        <v>18.829599999999999</v>
      </c>
      <c r="BL2">
        <f>AY235</f>
        <v>10.9681</v>
      </c>
      <c r="BM2">
        <f>BA235</f>
        <v>21.6797</v>
      </c>
      <c r="BN2" t="s">
        <v>119</v>
      </c>
    </row>
    <row r="3" spans="1:68">
      <c r="B3" s="27"/>
      <c r="C3" s="27"/>
      <c r="D3" s="27"/>
      <c r="E3" s="27"/>
      <c r="F3" s="27">
        <v>5</v>
      </c>
      <c r="G3" s="27"/>
      <c r="H3" s="27"/>
      <c r="I3" s="27"/>
      <c r="J3" s="27" t="s">
        <v>108</v>
      </c>
      <c r="K3" s="27"/>
      <c r="L3" s="30" t="s">
        <v>134</v>
      </c>
      <c r="M3" s="30"/>
      <c r="N3" s="30" t="s">
        <v>132</v>
      </c>
      <c r="O3" s="30" t="s">
        <v>138</v>
      </c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9" t="s">
        <v>109</v>
      </c>
      <c r="AB3" s="29"/>
      <c r="AC3" s="27"/>
      <c r="AD3" s="30" t="s">
        <v>135</v>
      </c>
      <c r="AF3" s="27"/>
      <c r="AG3" s="30" t="s">
        <v>133</v>
      </c>
      <c r="AH3" s="27"/>
      <c r="AI3" s="27"/>
      <c r="AJ3" s="27"/>
      <c r="AK3" s="30" t="s">
        <v>131</v>
      </c>
      <c r="AL3" s="27"/>
      <c r="AM3" s="27"/>
      <c r="AN3" s="27"/>
      <c r="AO3" s="27"/>
      <c r="AP3" s="27"/>
      <c r="AQ3" s="27" t="s">
        <v>194</v>
      </c>
      <c r="AR3" s="27" t="s">
        <v>198</v>
      </c>
      <c r="AS3" s="27" t="s">
        <v>150</v>
      </c>
      <c r="AT3" s="27" t="s">
        <v>194</v>
      </c>
      <c r="AU3" s="30"/>
      <c r="AV3" s="32"/>
      <c r="AW3" s="27"/>
      <c r="AX3" s="27" t="s">
        <v>111</v>
      </c>
      <c r="AY3" s="29" t="s">
        <v>109</v>
      </c>
      <c r="AZ3" s="29" t="s">
        <v>109</v>
      </c>
      <c r="BA3" s="29" t="s">
        <v>109</v>
      </c>
      <c r="BB3" s="31" t="s">
        <v>136</v>
      </c>
      <c r="BD3" s="30" t="s">
        <v>137</v>
      </c>
      <c r="BF3" t="s">
        <v>108</v>
      </c>
      <c r="BG3" t="s">
        <v>139</v>
      </c>
      <c r="BH3" t="s">
        <v>140</v>
      </c>
      <c r="BI3" s="29" t="s">
        <v>112</v>
      </c>
      <c r="BK3">
        <v>1.2</v>
      </c>
      <c r="BL3">
        <v>0.34799999999999998</v>
      </c>
      <c r="BM3">
        <v>0.66239999999999999</v>
      </c>
      <c r="BN3" t="s">
        <v>118</v>
      </c>
      <c r="BP3">
        <f>35000*0.3</f>
        <v>10500</v>
      </c>
    </row>
    <row r="4" spans="1:68" ht="28.5" customHeight="1">
      <c r="A4" t="s">
        <v>10</v>
      </c>
      <c r="B4" s="18" t="s">
        <v>11</v>
      </c>
      <c r="C4" s="18" t="s">
        <v>157</v>
      </c>
      <c r="D4" t="s">
        <v>12</v>
      </c>
      <c r="E4" s="45" t="s">
        <v>158</v>
      </c>
      <c r="F4" t="s">
        <v>13</v>
      </c>
      <c r="G4" s="45" t="s">
        <v>144</v>
      </c>
      <c r="H4" s="45" t="s">
        <v>191</v>
      </c>
      <c r="I4" s="8" t="s">
        <v>15</v>
      </c>
      <c r="J4" s="7" t="s">
        <v>16</v>
      </c>
      <c r="K4" s="18" t="s">
        <v>17</v>
      </c>
      <c r="L4" s="45" t="s">
        <v>47</v>
      </c>
      <c r="M4" s="45" t="s">
        <v>168</v>
      </c>
      <c r="N4" s="45" t="s">
        <v>178</v>
      </c>
      <c r="O4" t="s">
        <v>48</v>
      </c>
      <c r="P4" s="18" t="s">
        <v>102</v>
      </c>
      <c r="Q4" s="45" t="s">
        <v>103</v>
      </c>
      <c r="R4" s="45" t="s">
        <v>190</v>
      </c>
      <c r="S4" t="s">
        <v>104</v>
      </c>
      <c r="T4" s="45" t="s">
        <v>154</v>
      </c>
      <c r="U4" s="45" t="s">
        <v>186</v>
      </c>
      <c r="V4" t="s">
        <v>159</v>
      </c>
      <c r="W4" t="s">
        <v>183</v>
      </c>
      <c r="X4" t="s">
        <v>160</v>
      </c>
      <c r="Y4" t="s">
        <v>209</v>
      </c>
      <c r="Z4" t="s">
        <v>215</v>
      </c>
      <c r="AA4" s="9" t="s">
        <v>20</v>
      </c>
      <c r="AB4" s="9" t="s">
        <v>216</v>
      </c>
      <c r="AC4" s="9" t="s">
        <v>49</v>
      </c>
      <c r="AD4" s="39" t="s">
        <v>50</v>
      </c>
      <c r="AE4" s="9" t="s">
        <v>101</v>
      </c>
      <c r="AF4" s="9" t="s">
        <v>51</v>
      </c>
      <c r="AG4" s="40" t="s">
        <v>113</v>
      </c>
      <c r="AH4" s="9" t="s">
        <v>61</v>
      </c>
      <c r="AI4" s="6" t="s">
        <v>21</v>
      </c>
      <c r="AJ4" s="6" t="s">
        <v>155</v>
      </c>
      <c r="AK4" s="45" t="s">
        <v>22</v>
      </c>
      <c r="AL4" s="18" t="s">
        <v>23</v>
      </c>
      <c r="AM4" s="18" t="s">
        <v>164</v>
      </c>
      <c r="AN4" s="18" t="s">
        <v>189</v>
      </c>
      <c r="AO4" s="5" t="s">
        <v>25</v>
      </c>
      <c r="AP4" s="41" t="s">
        <v>26</v>
      </c>
      <c r="AQ4" s="53" t="s">
        <v>192</v>
      </c>
      <c r="AR4" s="53" t="s">
        <v>197</v>
      </c>
      <c r="AS4" s="53" t="s">
        <v>195</v>
      </c>
      <c r="AT4" s="53" t="s">
        <v>200</v>
      </c>
      <c r="AU4" s="54" t="s">
        <v>156</v>
      </c>
      <c r="AV4" s="53" t="s">
        <v>196</v>
      </c>
      <c r="AW4" s="53" t="s">
        <v>193</v>
      </c>
      <c r="AX4" s="53" t="s">
        <v>199</v>
      </c>
      <c r="AY4" s="11" t="s">
        <v>46</v>
      </c>
      <c r="AZ4" s="11" t="s">
        <v>167</v>
      </c>
      <c r="BA4" s="11" t="s">
        <v>105</v>
      </c>
      <c r="BB4" s="45" t="s">
        <v>106</v>
      </c>
      <c r="BC4" s="11" t="s">
        <v>218</v>
      </c>
      <c r="BD4" s="47" t="s">
        <v>107</v>
      </c>
      <c r="BE4" s="28"/>
      <c r="BK4" t="s">
        <v>117</v>
      </c>
      <c r="BL4" t="s">
        <v>46</v>
      </c>
      <c r="BM4" t="s">
        <v>105</v>
      </c>
    </row>
    <row r="5" spans="1:68">
      <c r="A5" s="4">
        <v>43421</v>
      </c>
      <c r="B5">
        <v>48.234099999999998</v>
      </c>
      <c r="D5">
        <v>91.691199999999995</v>
      </c>
      <c r="F5">
        <v>10.3811</v>
      </c>
      <c r="I5">
        <v>8.5732999999999997</v>
      </c>
      <c r="J5">
        <v>59.198399999999999</v>
      </c>
      <c r="K5">
        <v>25.737100000000002</v>
      </c>
      <c r="P5">
        <v>41.3142</v>
      </c>
      <c r="Q5">
        <v>29.303999999999998</v>
      </c>
      <c r="S5">
        <v>97.1006</v>
      </c>
      <c r="AA5">
        <v>14.0905</v>
      </c>
      <c r="AI5">
        <v>15.013500000000001</v>
      </c>
      <c r="AK5">
        <v>27.027799999999999</v>
      </c>
      <c r="BK5" s="15">
        <f>BK3/BK2</f>
        <v>6.3729447253260824E-2</v>
      </c>
      <c r="BL5" s="15">
        <f>BL3/BL2</f>
        <v>3.1728375926550631E-2</v>
      </c>
      <c r="BM5" s="15">
        <f>BM3/BM2</f>
        <v>3.0553928329266549E-2</v>
      </c>
    </row>
    <row r="6" spans="1:68">
      <c r="A6" s="4">
        <v>43428</v>
      </c>
      <c r="B6">
        <v>47.981900000000003</v>
      </c>
      <c r="D6">
        <v>91.232900000000001</v>
      </c>
      <c r="F6">
        <v>10.382999999999999</v>
      </c>
      <c r="I6">
        <v>8.4760000000000009</v>
      </c>
      <c r="J6">
        <v>58.419199999999996</v>
      </c>
      <c r="K6">
        <v>25.471499999999999</v>
      </c>
      <c r="P6">
        <v>41.306600000000003</v>
      </c>
      <c r="Q6">
        <v>29.3155</v>
      </c>
      <c r="S6">
        <v>97.085400000000007</v>
      </c>
    </row>
    <row r="7" spans="1:68">
      <c r="A7" s="4">
        <v>43436</v>
      </c>
      <c r="B7">
        <v>48.4711</v>
      </c>
      <c r="D7">
        <v>92.129800000000003</v>
      </c>
      <c r="F7">
        <v>10.3886</v>
      </c>
      <c r="I7">
        <v>8.6087000000000007</v>
      </c>
      <c r="J7">
        <v>59.196599999999997</v>
      </c>
      <c r="K7">
        <v>25.7639</v>
      </c>
      <c r="P7">
        <v>41.7102</v>
      </c>
      <c r="Q7">
        <v>29.558199999999999</v>
      </c>
      <c r="S7">
        <v>98.025499999999994</v>
      </c>
      <c r="AA7">
        <v>14.077400000000001</v>
      </c>
      <c r="AI7">
        <v>15.1097</v>
      </c>
      <c r="AK7">
        <v>27.075299999999999</v>
      </c>
      <c r="BK7" t="s">
        <v>121</v>
      </c>
      <c r="BL7" t="s">
        <v>120</v>
      </c>
      <c r="BM7" t="s">
        <v>120</v>
      </c>
    </row>
    <row r="8" spans="1:68">
      <c r="A8" s="4">
        <v>43443</v>
      </c>
      <c r="B8">
        <v>48.474699999999999</v>
      </c>
      <c r="D8">
        <v>92.082899999999995</v>
      </c>
      <c r="F8">
        <v>10.392899999999999</v>
      </c>
      <c r="I8">
        <v>8.5191999999999997</v>
      </c>
      <c r="J8">
        <v>59.486899999999999</v>
      </c>
      <c r="K8">
        <v>25.879000000000001</v>
      </c>
      <c r="P8">
        <v>41.993499999999997</v>
      </c>
      <c r="Q8">
        <v>29.726400000000002</v>
      </c>
      <c r="S8">
        <v>98.693700000000007</v>
      </c>
      <c r="AA8">
        <v>13.7692</v>
      </c>
      <c r="AI8">
        <v>15.132300000000001</v>
      </c>
      <c r="AK8">
        <v>27.133299999999998</v>
      </c>
    </row>
    <row r="9" spans="1:68">
      <c r="A9" s="4">
        <v>43449</v>
      </c>
      <c r="B9">
        <v>47.296199999999999</v>
      </c>
      <c r="D9">
        <v>89.918099999999995</v>
      </c>
      <c r="F9">
        <v>10.395099999999999</v>
      </c>
      <c r="I9">
        <v>8.6609999999999996</v>
      </c>
      <c r="J9">
        <v>58.104599999999998</v>
      </c>
      <c r="K9">
        <v>25.244499999999999</v>
      </c>
      <c r="P9">
        <v>41.440800000000003</v>
      </c>
      <c r="Q9">
        <v>29.447700000000001</v>
      </c>
      <c r="S9">
        <v>97.397199999999998</v>
      </c>
      <c r="AA9">
        <v>13.6122</v>
      </c>
      <c r="AI9">
        <v>14.6389</v>
      </c>
      <c r="AK9">
        <v>26.854199999999999</v>
      </c>
    </row>
    <row r="10" spans="1:68">
      <c r="A10" s="4">
        <v>43456</v>
      </c>
      <c r="B10">
        <v>46.768700000000003</v>
      </c>
      <c r="D10">
        <v>88.817599999999999</v>
      </c>
      <c r="F10">
        <v>10.395</v>
      </c>
      <c r="I10">
        <v>8.2103999999999999</v>
      </c>
      <c r="J10">
        <v>57.433700000000002</v>
      </c>
      <c r="K10">
        <v>24.9663</v>
      </c>
      <c r="P10">
        <v>41.333399999999997</v>
      </c>
      <c r="Q10">
        <v>29.4072</v>
      </c>
      <c r="S10">
        <v>97.148200000000003</v>
      </c>
      <c r="AA10">
        <v>12.576499999999999</v>
      </c>
      <c r="AI10">
        <v>14.310499999999999</v>
      </c>
      <c r="AK10">
        <v>26.801500000000001</v>
      </c>
      <c r="AL10">
        <v>19.022300000000001</v>
      </c>
    </row>
    <row r="11" spans="1:68">
      <c r="A11" s="4">
        <v>43462</v>
      </c>
      <c r="B11">
        <v>45.278700000000001</v>
      </c>
      <c r="D11">
        <v>86.030100000000004</v>
      </c>
      <c r="F11">
        <v>10.3973</v>
      </c>
      <c r="I11">
        <v>8.1485000000000003</v>
      </c>
      <c r="J11">
        <v>55.747500000000002</v>
      </c>
      <c r="K11">
        <v>24.269300000000001</v>
      </c>
      <c r="P11">
        <v>39.937399999999997</v>
      </c>
      <c r="Q11">
        <v>28.594200000000001</v>
      </c>
      <c r="S11">
        <v>93.869600000000005</v>
      </c>
      <c r="AA11">
        <v>12.657299999999999</v>
      </c>
      <c r="AI11">
        <v>13.9839</v>
      </c>
      <c r="AK11">
        <v>26.641100000000002</v>
      </c>
      <c r="AL11">
        <v>18.717199999999998</v>
      </c>
    </row>
    <row r="12" spans="1:68">
      <c r="A12" s="4">
        <v>43470</v>
      </c>
      <c r="B12">
        <v>46.165799999999997</v>
      </c>
      <c r="D12">
        <v>87.674899999999994</v>
      </c>
      <c r="F12">
        <v>10.401199999999999</v>
      </c>
      <c r="I12">
        <v>7.9856999999999996</v>
      </c>
      <c r="J12">
        <v>56.427300000000002</v>
      </c>
      <c r="K12">
        <v>24.701899999999998</v>
      </c>
      <c r="P12">
        <v>40.430799999999998</v>
      </c>
      <c r="Q12">
        <v>28.888000000000002</v>
      </c>
      <c r="S12">
        <v>95.045000000000002</v>
      </c>
      <c r="AA12">
        <v>12.3773</v>
      </c>
      <c r="AI12">
        <v>13.995100000000001</v>
      </c>
      <c r="AK12">
        <v>26.7361</v>
      </c>
      <c r="AL12">
        <v>18.9009</v>
      </c>
    </row>
    <row r="13" spans="1:68">
      <c r="A13" s="4">
        <v>43476</v>
      </c>
      <c r="B13">
        <v>46.16</v>
      </c>
      <c r="D13">
        <v>87.693200000000004</v>
      </c>
      <c r="F13">
        <v>10.404500000000001</v>
      </c>
      <c r="I13">
        <v>8.3978000000000002</v>
      </c>
      <c r="J13">
        <v>57.401800000000001</v>
      </c>
      <c r="K13">
        <v>25.000699999999998</v>
      </c>
      <c r="P13">
        <v>40.573999999999998</v>
      </c>
      <c r="Q13">
        <v>28.976299999999998</v>
      </c>
      <c r="S13">
        <v>95.3733</v>
      </c>
      <c r="AA13">
        <v>13.259</v>
      </c>
      <c r="AI13">
        <v>14.2828</v>
      </c>
      <c r="AK13">
        <v>26.854600000000001</v>
      </c>
      <c r="AL13">
        <v>19.142099999999999</v>
      </c>
    </row>
    <row r="14" spans="1:68">
      <c r="A14" s="4">
        <v>43485</v>
      </c>
      <c r="B14">
        <v>46.152900000000002</v>
      </c>
      <c r="D14">
        <v>87.6751</v>
      </c>
      <c r="F14">
        <v>10.4084</v>
      </c>
      <c r="I14">
        <v>8.4983000000000004</v>
      </c>
      <c r="J14">
        <v>56.686500000000002</v>
      </c>
      <c r="K14">
        <v>24.731999999999999</v>
      </c>
      <c r="P14">
        <v>40.652099999999997</v>
      </c>
      <c r="Q14">
        <v>29.0243</v>
      </c>
      <c r="S14">
        <v>95.565899999999999</v>
      </c>
      <c r="AA14">
        <v>13.427099999999999</v>
      </c>
      <c r="AI14">
        <v>14.028700000000001</v>
      </c>
      <c r="AK14">
        <v>26.741499999999998</v>
      </c>
      <c r="AL14">
        <v>19.058900000000001</v>
      </c>
    </row>
    <row r="15" spans="1:68">
      <c r="A15" s="4">
        <v>43491</v>
      </c>
      <c r="B15">
        <v>47.461799999999997</v>
      </c>
      <c r="D15">
        <v>90.183099999999996</v>
      </c>
      <c r="F15">
        <v>10.410299999999999</v>
      </c>
      <c r="I15">
        <v>8.5661000000000005</v>
      </c>
      <c r="J15">
        <v>58.273000000000003</v>
      </c>
      <c r="K15">
        <v>25.371300000000002</v>
      </c>
      <c r="P15">
        <v>41.722900000000003</v>
      </c>
      <c r="Q15">
        <v>29.664000000000001</v>
      </c>
      <c r="S15">
        <v>98.0929</v>
      </c>
      <c r="AA15">
        <v>13.3919</v>
      </c>
      <c r="AI15">
        <v>14.6134</v>
      </c>
      <c r="AK15">
        <v>26.9969</v>
      </c>
      <c r="AL15">
        <v>19.548500000000001</v>
      </c>
    </row>
    <row r="16" spans="1:68">
      <c r="A16" s="4">
        <v>43498</v>
      </c>
      <c r="B16">
        <v>48.322699999999998</v>
      </c>
      <c r="D16">
        <v>91.843900000000005</v>
      </c>
      <c r="F16">
        <v>10.4139</v>
      </c>
      <c r="I16">
        <v>8.7317</v>
      </c>
      <c r="J16">
        <v>59.167099999999998</v>
      </c>
      <c r="K16">
        <v>25.799800000000001</v>
      </c>
      <c r="P16">
        <v>42.318199999999997</v>
      </c>
      <c r="Q16">
        <v>29.965800000000002</v>
      </c>
      <c r="S16">
        <v>99.487099999999998</v>
      </c>
      <c r="AA16">
        <v>13.747</v>
      </c>
      <c r="AI16">
        <v>14.9491</v>
      </c>
      <c r="AK16">
        <v>27.1587</v>
      </c>
      <c r="AL16">
        <v>19.8325</v>
      </c>
    </row>
    <row r="17" spans="1:38">
      <c r="A17" s="4">
        <v>43505</v>
      </c>
      <c r="B17">
        <v>48.421999999999997</v>
      </c>
      <c r="D17">
        <v>92.0595</v>
      </c>
      <c r="F17">
        <v>10.417400000000001</v>
      </c>
      <c r="I17" s="14">
        <f>AVERAGE(I16,I18)</f>
        <v>8.8647500000000008</v>
      </c>
      <c r="J17">
        <v>59.136800000000001</v>
      </c>
      <c r="K17">
        <v>25.744299999999999</v>
      </c>
      <c r="P17">
        <v>42.298999999999999</v>
      </c>
      <c r="Q17">
        <v>29.9496</v>
      </c>
      <c r="S17">
        <v>99.450999999999993</v>
      </c>
      <c r="AA17">
        <v>13.751899999999999</v>
      </c>
      <c r="AI17">
        <v>14.9442</v>
      </c>
      <c r="AK17">
        <v>27.134699999999999</v>
      </c>
      <c r="AL17">
        <v>19.789400000000001</v>
      </c>
    </row>
    <row r="18" spans="1:38">
      <c r="A18" s="4">
        <v>43512</v>
      </c>
      <c r="B18">
        <v>48.014099999999999</v>
      </c>
      <c r="D18">
        <v>91.266099999999994</v>
      </c>
      <c r="F18">
        <v>10.4208</v>
      </c>
      <c r="I18">
        <v>8.9977999999999998</v>
      </c>
      <c r="J18">
        <v>58.5261</v>
      </c>
      <c r="K18">
        <v>25.4621</v>
      </c>
      <c r="P18">
        <v>41.919499999999999</v>
      </c>
      <c r="Q18">
        <v>29.748799999999999</v>
      </c>
      <c r="S18">
        <v>98.559399999999997</v>
      </c>
      <c r="AA18">
        <v>13.9833</v>
      </c>
      <c r="AI18">
        <v>14.8736</v>
      </c>
      <c r="AK18">
        <v>27.026399999999999</v>
      </c>
      <c r="AL18">
        <v>19.565799999999999</v>
      </c>
    </row>
    <row r="19" spans="1:38">
      <c r="A19" s="4">
        <v>43519</v>
      </c>
      <c r="B19">
        <v>48.370899999999999</v>
      </c>
      <c r="D19">
        <v>91.910499999999999</v>
      </c>
      <c r="F19">
        <v>10.4239</v>
      </c>
      <c r="I19">
        <v>9.0724999999999998</v>
      </c>
      <c r="J19">
        <v>59.2303</v>
      </c>
      <c r="K19">
        <v>25.808900000000001</v>
      </c>
      <c r="P19">
        <v>42.498800000000003</v>
      </c>
      <c r="Q19">
        <v>30.0776</v>
      </c>
      <c r="S19">
        <v>99.917599999999993</v>
      </c>
      <c r="AA19">
        <v>13.9938</v>
      </c>
      <c r="AI19">
        <v>14.9305</v>
      </c>
      <c r="AK19">
        <v>27.150099999999998</v>
      </c>
      <c r="AL19">
        <v>19.829799999999999</v>
      </c>
    </row>
    <row r="20" spans="1:38">
      <c r="A20" s="4">
        <v>43499</v>
      </c>
      <c r="B20">
        <v>47.941000000000003</v>
      </c>
      <c r="D20">
        <v>91.080399999999997</v>
      </c>
      <c r="F20">
        <v>10.4285</v>
      </c>
      <c r="I20">
        <v>9.1271000000000004</v>
      </c>
      <c r="J20">
        <v>58.412599999999998</v>
      </c>
      <c r="K20">
        <v>25.4849</v>
      </c>
      <c r="P20">
        <v>42.0383</v>
      </c>
      <c r="Q20">
        <v>29.819099999999999</v>
      </c>
      <c r="S20">
        <v>98.847899999999996</v>
      </c>
      <c r="AA20">
        <v>13.881500000000001</v>
      </c>
      <c r="AI20">
        <v>14.730399999999999</v>
      </c>
      <c r="AK20">
        <v>27.035</v>
      </c>
      <c r="AL20">
        <v>19.476900000000001</v>
      </c>
    </row>
    <row r="21" spans="1:38">
      <c r="A21" s="4">
        <v>43533</v>
      </c>
      <c r="B21">
        <v>47.560899999999997</v>
      </c>
      <c r="D21">
        <v>90.331699999999998</v>
      </c>
      <c r="F21">
        <v>10.432499999999999</v>
      </c>
      <c r="I21">
        <v>9.1818000000000008</v>
      </c>
      <c r="J21">
        <v>58.160699999999999</v>
      </c>
      <c r="K21">
        <v>25.4831</v>
      </c>
      <c r="P21">
        <v>41.889299999999999</v>
      </c>
      <c r="Q21">
        <v>29.7316</v>
      </c>
      <c r="S21">
        <v>98.503500000000003</v>
      </c>
      <c r="AA21">
        <v>13.7653</v>
      </c>
      <c r="AI21">
        <v>14.745699999999999</v>
      </c>
      <c r="AK21">
        <v>26.9803</v>
      </c>
      <c r="AL21">
        <v>19.383700000000001</v>
      </c>
    </row>
    <row r="22" spans="1:38">
      <c r="A22" s="4">
        <v>43540</v>
      </c>
      <c r="B22">
        <v>47.493299999999998</v>
      </c>
      <c r="D22">
        <v>90.219499999999996</v>
      </c>
      <c r="F22">
        <v>10.4373</v>
      </c>
      <c r="I22">
        <v>8.7978000000000005</v>
      </c>
      <c r="J22">
        <v>58.038600000000002</v>
      </c>
      <c r="K22">
        <v>25.413499999999999</v>
      </c>
      <c r="P22">
        <v>41.7515</v>
      </c>
      <c r="Q22">
        <v>29.644300000000001</v>
      </c>
      <c r="S22">
        <v>98.188699999999997</v>
      </c>
      <c r="AA22">
        <v>14.1601</v>
      </c>
      <c r="AI22">
        <v>14.7052</v>
      </c>
      <c r="AK22">
        <v>26.967500000000001</v>
      </c>
      <c r="AL22">
        <v>19.327300000000001</v>
      </c>
    </row>
    <row r="23" spans="1:38">
      <c r="A23" s="4">
        <v>43547</v>
      </c>
      <c r="B23">
        <v>48.129399999999997</v>
      </c>
      <c r="D23">
        <v>91.301100000000005</v>
      </c>
      <c r="F23">
        <v>10.440799999999999</v>
      </c>
      <c r="I23">
        <v>8.9952000000000005</v>
      </c>
      <c r="J23">
        <v>58.746000000000002</v>
      </c>
      <c r="K23">
        <v>25.74</v>
      </c>
      <c r="P23">
        <v>42.011200000000002</v>
      </c>
      <c r="Q23">
        <v>29.799099999999999</v>
      </c>
      <c r="S23">
        <v>98.799499999999995</v>
      </c>
      <c r="AA23">
        <v>14.6297</v>
      </c>
      <c r="AI23">
        <v>14.8253</v>
      </c>
      <c r="AK23">
        <v>27.153300000000002</v>
      </c>
      <c r="AL23">
        <v>19.648</v>
      </c>
    </row>
    <row r="24" spans="1:38">
      <c r="A24" s="4">
        <v>43554</v>
      </c>
      <c r="B24">
        <v>47.992800000000003</v>
      </c>
      <c r="D24">
        <v>91.087100000000007</v>
      </c>
      <c r="F24">
        <v>10.444100000000001</v>
      </c>
      <c r="I24">
        <v>8.9473000000000003</v>
      </c>
      <c r="J24">
        <v>58.446300000000001</v>
      </c>
      <c r="K24">
        <v>25.586500000000001</v>
      </c>
      <c r="P24">
        <v>41.9024</v>
      </c>
      <c r="Q24">
        <v>29.736699999999999</v>
      </c>
      <c r="S24">
        <v>98.547799999999995</v>
      </c>
      <c r="AA24">
        <v>14.301399999999999</v>
      </c>
      <c r="AI24">
        <v>14.861800000000001</v>
      </c>
      <c r="AK24">
        <v>27.098800000000001</v>
      </c>
      <c r="AL24">
        <v>19.5594</v>
      </c>
    </row>
    <row r="25" spans="1:38">
      <c r="A25" s="4">
        <v>43561</v>
      </c>
      <c r="B25">
        <v>48.1997</v>
      </c>
      <c r="D25">
        <v>91.556799999999996</v>
      </c>
      <c r="F25">
        <v>10.445600000000001</v>
      </c>
      <c r="I25">
        <v>9.3820999999999994</v>
      </c>
      <c r="J25">
        <v>58.539000000000001</v>
      </c>
      <c r="K25">
        <v>25.654900000000001</v>
      </c>
      <c r="P25">
        <v>42.134799999999998</v>
      </c>
      <c r="Q25">
        <v>29.872499999999999</v>
      </c>
      <c r="S25">
        <v>99.088700000000003</v>
      </c>
      <c r="AA25">
        <v>14.714</v>
      </c>
      <c r="AI25">
        <v>15.010899999999999</v>
      </c>
      <c r="AK25">
        <v>27.168199999999999</v>
      </c>
      <c r="AL25">
        <v>19.627800000000001</v>
      </c>
    </row>
    <row r="26" spans="1:38">
      <c r="A26" s="4">
        <v>43569</v>
      </c>
      <c r="B26">
        <v>48.450299999999999</v>
      </c>
      <c r="D26">
        <v>92.013099999999994</v>
      </c>
      <c r="F26">
        <v>10.450699999999999</v>
      </c>
      <c r="I26">
        <v>9.4237000000000002</v>
      </c>
      <c r="J26">
        <v>58.98</v>
      </c>
      <c r="K26">
        <v>25.8767</v>
      </c>
      <c r="P26">
        <v>42.451300000000003</v>
      </c>
      <c r="Q26">
        <v>30.049900000000001</v>
      </c>
      <c r="S26">
        <v>99.821799999999996</v>
      </c>
      <c r="AA26">
        <v>14.8149</v>
      </c>
      <c r="AI26">
        <v>15.170999999999999</v>
      </c>
      <c r="AK26">
        <v>27.263500000000001</v>
      </c>
      <c r="AL26">
        <v>19.7986</v>
      </c>
    </row>
    <row r="27" spans="1:38">
      <c r="A27" s="4">
        <v>43575</v>
      </c>
      <c r="B27">
        <v>48.8735</v>
      </c>
      <c r="D27">
        <v>92.709199999999996</v>
      </c>
      <c r="F27">
        <v>10.454499999999999</v>
      </c>
      <c r="I27">
        <v>9.4543999999999997</v>
      </c>
      <c r="J27">
        <v>59.601100000000002</v>
      </c>
      <c r="K27">
        <v>26.111999999999998</v>
      </c>
      <c r="P27">
        <v>42.709600000000002</v>
      </c>
      <c r="Q27">
        <v>30.2072</v>
      </c>
      <c r="S27">
        <v>100.4164</v>
      </c>
      <c r="AA27">
        <v>14.998200000000001</v>
      </c>
      <c r="AI27">
        <v>15.3461</v>
      </c>
      <c r="AK27">
        <v>27.340900000000001</v>
      </c>
      <c r="AL27">
        <v>19.961500000000001</v>
      </c>
    </row>
    <row r="28" spans="1:38">
      <c r="A28" s="4">
        <v>43583</v>
      </c>
      <c r="B28">
        <v>48.933199999999999</v>
      </c>
      <c r="D28">
        <v>92.911799999999999</v>
      </c>
      <c r="F28">
        <v>10.458</v>
      </c>
      <c r="I28">
        <v>9.3402999999999992</v>
      </c>
      <c r="J28">
        <v>59.347499999999997</v>
      </c>
      <c r="K28">
        <v>25.9178</v>
      </c>
      <c r="P28">
        <v>42.468600000000002</v>
      </c>
      <c r="Q28">
        <v>30.058299999999999</v>
      </c>
      <c r="S28">
        <v>99.8566</v>
      </c>
      <c r="AA28">
        <v>15.254</v>
      </c>
      <c r="AI28">
        <v>15.2462</v>
      </c>
      <c r="AK28">
        <v>27.322399999999998</v>
      </c>
      <c r="AL28">
        <v>19.913499999999999</v>
      </c>
    </row>
    <row r="29" spans="1:38">
      <c r="A29" s="4">
        <v>43589</v>
      </c>
      <c r="B29">
        <v>49.226500000000001</v>
      </c>
      <c r="D29">
        <v>93.510499999999993</v>
      </c>
      <c r="F29">
        <v>10.462400000000001</v>
      </c>
      <c r="I29">
        <v>9.3844999999999992</v>
      </c>
      <c r="J29">
        <v>59.826500000000003</v>
      </c>
      <c r="K29">
        <v>26.039899999999999</v>
      </c>
      <c r="P29">
        <v>42.967100000000002</v>
      </c>
      <c r="Q29">
        <v>30.3627</v>
      </c>
      <c r="S29">
        <v>101.0215</v>
      </c>
      <c r="AA29">
        <v>15.056699999999999</v>
      </c>
      <c r="AI29">
        <v>15.453900000000001</v>
      </c>
      <c r="AK29">
        <v>27.415900000000001</v>
      </c>
      <c r="AL29">
        <v>20.110800000000001</v>
      </c>
    </row>
    <row r="30" spans="1:38">
      <c r="A30" s="4">
        <v>43596</v>
      </c>
      <c r="B30">
        <v>48.402000000000001</v>
      </c>
      <c r="D30">
        <v>91.878399999999999</v>
      </c>
      <c r="F30">
        <v>10.466900000000001</v>
      </c>
      <c r="I30">
        <v>8.8914000000000009</v>
      </c>
      <c r="J30">
        <v>58.577800000000003</v>
      </c>
      <c r="K30">
        <v>25.571899999999999</v>
      </c>
      <c r="P30">
        <v>42.156999999999996</v>
      </c>
      <c r="Q30">
        <v>29.900700000000001</v>
      </c>
      <c r="S30">
        <v>99.1477</v>
      </c>
      <c r="AA30">
        <v>14.7842</v>
      </c>
      <c r="AI30">
        <v>15.0906</v>
      </c>
      <c r="AK30">
        <v>27.248699999999999</v>
      </c>
      <c r="AL30">
        <v>19.747900000000001</v>
      </c>
    </row>
    <row r="31" spans="1:38">
      <c r="A31" s="4">
        <v>43603</v>
      </c>
      <c r="B31">
        <v>47.473300000000002</v>
      </c>
      <c r="D31">
        <v>90.198899999999995</v>
      </c>
      <c r="F31">
        <v>10.4694</v>
      </c>
      <c r="I31">
        <v>8.8323999999999998</v>
      </c>
      <c r="J31">
        <v>57.0764</v>
      </c>
      <c r="K31">
        <v>24.9269</v>
      </c>
      <c r="P31">
        <v>41.098700000000001</v>
      </c>
      <c r="Q31">
        <v>29.335899999999999</v>
      </c>
      <c r="S31">
        <v>96.688599999999994</v>
      </c>
      <c r="AA31">
        <v>14.7836</v>
      </c>
      <c r="AI31">
        <v>14.748200000000001</v>
      </c>
      <c r="AK31">
        <v>27.047799999999999</v>
      </c>
      <c r="AL31">
        <v>19.4285</v>
      </c>
    </row>
    <row r="32" spans="1:38">
      <c r="A32" s="4">
        <v>43611</v>
      </c>
      <c r="B32">
        <v>48.069499999999998</v>
      </c>
      <c r="D32">
        <v>91.287300000000002</v>
      </c>
      <c r="F32">
        <v>10.473000000000001</v>
      </c>
      <c r="I32">
        <v>8.4542000000000002</v>
      </c>
      <c r="J32">
        <v>57.146099999999997</v>
      </c>
      <c r="K32">
        <v>24.8718</v>
      </c>
      <c r="P32">
        <v>41.464100000000002</v>
      </c>
      <c r="Q32">
        <v>29.559799999999999</v>
      </c>
      <c r="S32">
        <v>97.542000000000002</v>
      </c>
      <c r="AA32">
        <v>14.274900000000001</v>
      </c>
      <c r="AI32">
        <v>14.7806</v>
      </c>
      <c r="AK32">
        <v>27.0976</v>
      </c>
      <c r="AL32">
        <v>19.526599999999998</v>
      </c>
    </row>
    <row r="33" spans="1:49">
      <c r="A33" s="4">
        <v>43617</v>
      </c>
      <c r="B33">
        <v>48.322400000000002</v>
      </c>
      <c r="D33">
        <v>91.745900000000006</v>
      </c>
      <c r="F33">
        <v>10.477</v>
      </c>
      <c r="I33">
        <v>8.4542000000000002</v>
      </c>
      <c r="J33">
        <v>57.3857</v>
      </c>
      <c r="K33">
        <v>25.028400000000001</v>
      </c>
      <c r="P33">
        <v>41.453800000000001</v>
      </c>
      <c r="Q33">
        <v>29.542100000000001</v>
      </c>
      <c r="S33">
        <v>97.521000000000001</v>
      </c>
      <c r="AA33">
        <v>14.1511</v>
      </c>
      <c r="AI33">
        <v>14.931900000000001</v>
      </c>
      <c r="AK33">
        <v>27.120999999999999</v>
      </c>
      <c r="AL33">
        <v>19.565899999999999</v>
      </c>
    </row>
    <row r="34" spans="1:49">
      <c r="A34" s="4">
        <v>43624</v>
      </c>
      <c r="B34">
        <v>49.4803</v>
      </c>
      <c r="D34">
        <v>94.025400000000005</v>
      </c>
      <c r="F34">
        <v>10.479900000000001</v>
      </c>
      <c r="I34">
        <v>8.4306999999999999</v>
      </c>
      <c r="J34">
        <v>58.446100000000001</v>
      </c>
      <c r="K34">
        <v>25.480499999999999</v>
      </c>
      <c r="P34">
        <v>42.387599999999999</v>
      </c>
      <c r="Q34">
        <v>30.088000000000001</v>
      </c>
      <c r="S34">
        <v>99.6828</v>
      </c>
      <c r="AA34">
        <v>14.004099999999999</v>
      </c>
      <c r="AI34">
        <v>15.3477</v>
      </c>
      <c r="AK34">
        <v>27.325500000000002</v>
      </c>
      <c r="AL34">
        <v>19.9374</v>
      </c>
    </row>
    <row r="35" spans="1:49">
      <c r="A35" s="4">
        <v>43631</v>
      </c>
      <c r="B35">
        <v>49.901499999999999</v>
      </c>
      <c r="D35">
        <v>94.8249</v>
      </c>
      <c r="F35">
        <v>10.4849</v>
      </c>
      <c r="I35">
        <v>8.3505000000000003</v>
      </c>
      <c r="J35">
        <v>58.836300000000001</v>
      </c>
      <c r="K35">
        <v>25.722300000000001</v>
      </c>
      <c r="P35">
        <v>42.884999999999998</v>
      </c>
      <c r="Q35">
        <v>30.362300000000001</v>
      </c>
      <c r="S35">
        <v>100.8343</v>
      </c>
      <c r="AA35">
        <v>14.085900000000001</v>
      </c>
      <c r="AI35">
        <v>15.493499999999999</v>
      </c>
      <c r="AK35">
        <v>27.452100000000002</v>
      </c>
      <c r="AL35">
        <v>20.141999999999999</v>
      </c>
    </row>
    <row r="36" spans="1:49">
      <c r="A36" s="4">
        <v>43638</v>
      </c>
      <c r="B36">
        <v>50.812100000000001</v>
      </c>
      <c r="D36">
        <v>96.499200000000002</v>
      </c>
      <c r="F36">
        <v>10.4899</v>
      </c>
      <c r="I36">
        <v>8.7112999999999996</v>
      </c>
      <c r="J36">
        <v>59.7607</v>
      </c>
      <c r="K36">
        <v>26.266100000000002</v>
      </c>
      <c r="P36">
        <v>43.787100000000002</v>
      </c>
      <c r="Q36">
        <v>30.8675</v>
      </c>
      <c r="S36">
        <v>102.92319999999999</v>
      </c>
      <c r="AA36">
        <v>14.832599999999999</v>
      </c>
      <c r="AI36">
        <v>15.8536</v>
      </c>
      <c r="AK36">
        <v>27.657599999999999</v>
      </c>
      <c r="AL36">
        <v>20.593699999999998</v>
      </c>
    </row>
    <row r="37" spans="1:49">
      <c r="A37" s="4">
        <v>43645</v>
      </c>
      <c r="B37">
        <v>50.972000000000001</v>
      </c>
      <c r="D37">
        <v>96.709599999999995</v>
      </c>
      <c r="F37">
        <v>10.4946</v>
      </c>
      <c r="I37">
        <v>8.74</v>
      </c>
      <c r="J37">
        <v>59.917000000000002</v>
      </c>
      <c r="K37">
        <v>26.355</v>
      </c>
      <c r="P37">
        <v>44.207099999999997</v>
      </c>
      <c r="Q37">
        <v>31.104600000000001</v>
      </c>
      <c r="S37">
        <v>103.9088</v>
      </c>
      <c r="AA37">
        <v>14.6616</v>
      </c>
      <c r="AI37">
        <v>15.6654</v>
      </c>
      <c r="AK37">
        <v>27.724799999999998</v>
      </c>
      <c r="AL37">
        <v>20.7056</v>
      </c>
    </row>
    <row r="38" spans="1:49">
      <c r="A38" s="4">
        <v>43659</v>
      </c>
      <c r="B38">
        <v>51.070099999999996</v>
      </c>
      <c r="D38">
        <v>97.062200000000004</v>
      </c>
      <c r="F38">
        <v>10.5052</v>
      </c>
      <c r="I38">
        <v>8.8485999999999994</v>
      </c>
      <c r="J38">
        <v>59.114800000000002</v>
      </c>
      <c r="K38">
        <v>26.312000000000001</v>
      </c>
      <c r="P38">
        <v>44.477800000000002</v>
      </c>
      <c r="Q38">
        <v>31.243200000000002</v>
      </c>
      <c r="S38">
        <v>104.5124</v>
      </c>
      <c r="AA38">
        <v>15.09</v>
      </c>
      <c r="AI38">
        <v>15.7949</v>
      </c>
      <c r="AK38">
        <v>27.703099999999999</v>
      </c>
      <c r="AL38">
        <v>20.584900000000001</v>
      </c>
    </row>
    <row r="39" spans="1:49">
      <c r="A39" s="4">
        <v>43666</v>
      </c>
      <c r="B39">
        <v>51.247100000000003</v>
      </c>
      <c r="D39">
        <v>97.315299999999993</v>
      </c>
      <c r="F39">
        <v>10.509399999999999</v>
      </c>
      <c r="I39">
        <v>8.8670000000000009</v>
      </c>
      <c r="J39">
        <v>59.203299999999999</v>
      </c>
      <c r="K39">
        <v>26.415299999999998</v>
      </c>
      <c r="P39">
        <v>44.705599999999997</v>
      </c>
      <c r="Q39">
        <v>31.359300000000001</v>
      </c>
      <c r="S39">
        <v>105.0352</v>
      </c>
      <c r="AA39">
        <v>15.103999999999999</v>
      </c>
      <c r="AI39">
        <v>15.8514</v>
      </c>
      <c r="AK39">
        <v>27.7441</v>
      </c>
      <c r="AL39">
        <v>20.6266</v>
      </c>
    </row>
    <row r="40" spans="1:49">
      <c r="A40" s="4">
        <v>43673</v>
      </c>
      <c r="F40">
        <v>10.513199999999999</v>
      </c>
      <c r="I40">
        <v>9.1074999999999999</v>
      </c>
      <c r="J40">
        <v>58.527500000000003</v>
      </c>
      <c r="K40">
        <v>26.266400000000001</v>
      </c>
      <c r="P40">
        <v>44.434899999999999</v>
      </c>
      <c r="Q40">
        <v>31.217500000000001</v>
      </c>
      <c r="S40">
        <v>104.3916</v>
      </c>
      <c r="AA40">
        <v>15.167</v>
      </c>
      <c r="AI40">
        <v>15.7468</v>
      </c>
    </row>
    <row r="41" spans="1:49">
      <c r="A41" s="4">
        <v>43681</v>
      </c>
      <c r="B41">
        <v>49.750500000000002</v>
      </c>
      <c r="D41">
        <v>94.584999999999994</v>
      </c>
      <c r="F41">
        <v>10.5182</v>
      </c>
      <c r="I41">
        <v>8.8542000000000005</v>
      </c>
      <c r="J41">
        <v>57.630499999999998</v>
      </c>
      <c r="K41">
        <v>25.861799999999999</v>
      </c>
      <c r="P41">
        <v>43.4358</v>
      </c>
      <c r="Q41">
        <v>30.6891</v>
      </c>
      <c r="S41">
        <v>102.0818</v>
      </c>
      <c r="AA41">
        <v>14.923999999999999</v>
      </c>
      <c r="AI41">
        <v>15.2721</v>
      </c>
      <c r="AK41">
        <v>27.484000000000002</v>
      </c>
      <c r="AL41">
        <v>19.868200000000002</v>
      </c>
    </row>
    <row r="42" spans="1:49">
      <c r="A42" s="4">
        <v>43689</v>
      </c>
      <c r="B42">
        <v>48.5732</v>
      </c>
      <c r="D42">
        <v>92.394800000000004</v>
      </c>
      <c r="F42">
        <v>10.5299</v>
      </c>
      <c r="I42">
        <v>8.4354999999999993</v>
      </c>
      <c r="J42">
        <v>56.377000000000002</v>
      </c>
      <c r="K42">
        <v>25.378699999999998</v>
      </c>
      <c r="P42">
        <v>42.653199999999998</v>
      </c>
      <c r="Q42">
        <v>30.2331</v>
      </c>
      <c r="S42">
        <v>100.2573</v>
      </c>
      <c r="AA42">
        <v>14.779299999999999</v>
      </c>
      <c r="AI42">
        <v>14.973699999999999</v>
      </c>
      <c r="AK42">
        <v>27.453499999999998</v>
      </c>
      <c r="AL42">
        <v>19.530999999999999</v>
      </c>
    </row>
    <row r="43" spans="1:49">
      <c r="A43" s="4">
        <v>43695</v>
      </c>
      <c r="B43">
        <v>47.937399999999997</v>
      </c>
      <c r="D43">
        <v>91.195999999999998</v>
      </c>
      <c r="F43">
        <v>10.5329</v>
      </c>
      <c r="I43">
        <v>8.2850999999999999</v>
      </c>
      <c r="J43">
        <v>55.724400000000003</v>
      </c>
      <c r="K43">
        <v>25.159099999999999</v>
      </c>
      <c r="P43">
        <v>42.0398</v>
      </c>
      <c r="Q43">
        <v>29.9009</v>
      </c>
      <c r="S43">
        <v>98.831199999999995</v>
      </c>
      <c r="AA43">
        <v>14.348599999999999</v>
      </c>
      <c r="AI43">
        <v>14.8809</v>
      </c>
      <c r="AK43">
        <v>27.412700000000001</v>
      </c>
      <c r="AL43">
        <v>19.297699999999999</v>
      </c>
    </row>
    <row r="44" spans="1:49">
      <c r="A44" s="4">
        <v>43701</v>
      </c>
      <c r="B44">
        <v>48.247599999999998</v>
      </c>
      <c r="D44">
        <v>91.815100000000001</v>
      </c>
      <c r="F44">
        <v>10.533799999999999</v>
      </c>
      <c r="I44">
        <v>8.6027000000000005</v>
      </c>
      <c r="J44">
        <v>55.927599999999998</v>
      </c>
      <c r="K44">
        <v>25.263500000000001</v>
      </c>
      <c r="P44">
        <v>42.793799999999997</v>
      </c>
      <c r="Q44">
        <v>30.308</v>
      </c>
      <c r="S44">
        <v>100.61320000000001</v>
      </c>
      <c r="AA44">
        <v>14.753399999999999</v>
      </c>
      <c r="AI44">
        <v>14.8773</v>
      </c>
      <c r="AK44">
        <v>27.515499999999999</v>
      </c>
      <c r="AL44">
        <v>19.561299999999999</v>
      </c>
    </row>
    <row r="45" spans="1:49">
      <c r="A45" s="4">
        <v>43708</v>
      </c>
      <c r="B45">
        <v>48.537199999999999</v>
      </c>
      <c r="D45">
        <v>92.347200000000001</v>
      </c>
      <c r="F45">
        <v>10.5404</v>
      </c>
      <c r="I45">
        <v>8.5168999999999997</v>
      </c>
      <c r="J45">
        <v>56.341999999999999</v>
      </c>
      <c r="K45">
        <v>25.491599999999998</v>
      </c>
      <c r="P45">
        <v>42.859200000000001</v>
      </c>
      <c r="Q45">
        <v>30.3246</v>
      </c>
      <c r="S45">
        <v>100.7646</v>
      </c>
      <c r="AA45">
        <v>14.736000000000001</v>
      </c>
      <c r="AI45">
        <v>15.1046</v>
      </c>
      <c r="AK45">
        <v>27.561299999999999</v>
      </c>
      <c r="AL45">
        <v>19.643999999999998</v>
      </c>
    </row>
    <row r="46" spans="1:49">
      <c r="A46" s="4">
        <v>43715</v>
      </c>
      <c r="B46">
        <v>48.829900000000002</v>
      </c>
      <c r="D46">
        <v>92.962800000000001</v>
      </c>
      <c r="F46">
        <v>10.5404</v>
      </c>
      <c r="I46">
        <v>8.7606999999999999</v>
      </c>
      <c r="J46">
        <v>56.863399999999999</v>
      </c>
      <c r="K46">
        <v>25.751999999999999</v>
      </c>
      <c r="P46">
        <v>43.299399999999999</v>
      </c>
      <c r="Q46">
        <v>30.567499999999999</v>
      </c>
      <c r="S46">
        <v>101.8006</v>
      </c>
      <c r="AA46">
        <v>14.813499999999999</v>
      </c>
      <c r="AI46">
        <v>15.2393</v>
      </c>
      <c r="AK46">
        <f>27.6409</f>
        <v>27.640899999999998</v>
      </c>
      <c r="AL46">
        <v>19.505700000000001</v>
      </c>
    </row>
    <row r="47" spans="1:49">
      <c r="A47" s="4">
        <v>43722</v>
      </c>
      <c r="B47">
        <v>48.660600000000002</v>
      </c>
      <c r="D47">
        <v>92.5334</v>
      </c>
      <c r="F47" s="10">
        <v>10.5451</v>
      </c>
      <c r="G47" s="10"/>
      <c r="H47" s="10"/>
      <c r="I47" s="10">
        <v>8.8869000000000007</v>
      </c>
      <c r="J47" s="10">
        <v>56.765900000000002</v>
      </c>
      <c r="K47" s="10">
        <v>25.6569</v>
      </c>
      <c r="L47" s="10"/>
      <c r="M47" s="10"/>
      <c r="N47" s="10"/>
      <c r="O47" s="10"/>
      <c r="P47" s="10">
        <v>43.165199999999999</v>
      </c>
      <c r="Q47" s="10">
        <v>30.505299999999998</v>
      </c>
      <c r="R47" s="10"/>
      <c r="S47" s="10">
        <v>101.4764</v>
      </c>
      <c r="T47" s="10"/>
      <c r="U47" s="10"/>
      <c r="V47" s="10"/>
      <c r="W47" s="10"/>
      <c r="X47" s="10"/>
      <c r="Y47" s="10"/>
      <c r="Z47" s="10"/>
      <c r="AA47" s="10">
        <v>14.916499999999999</v>
      </c>
      <c r="AB47" s="10"/>
      <c r="AC47" s="10"/>
      <c r="AD47" s="10"/>
      <c r="AE47" s="10"/>
      <c r="AF47" s="10"/>
      <c r="AG47" s="10"/>
      <c r="AH47" s="10"/>
      <c r="AI47" s="10">
        <v>15.097</v>
      </c>
      <c r="AJ47" s="10"/>
      <c r="AK47" s="10">
        <v>27.512</v>
      </c>
      <c r="AL47" s="10">
        <v>19.313300000000002</v>
      </c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</row>
    <row r="48" spans="1:49">
      <c r="A48" s="4">
        <v>43729</v>
      </c>
      <c r="B48">
        <v>47.568199999999997</v>
      </c>
      <c r="D48">
        <v>90.524699999999996</v>
      </c>
      <c r="F48" s="10">
        <v>10.5451</v>
      </c>
      <c r="G48" s="10"/>
      <c r="H48" s="10"/>
      <c r="I48" s="10">
        <v>8.8027999999999995</v>
      </c>
      <c r="J48" s="10">
        <v>55.900799999999997</v>
      </c>
      <c r="K48" s="10">
        <v>25.367699999999999</v>
      </c>
      <c r="L48" s="10"/>
      <c r="M48" s="10"/>
      <c r="N48" s="10"/>
      <c r="O48" s="10"/>
      <c r="P48" s="10">
        <v>42.484200000000001</v>
      </c>
      <c r="Q48" s="10">
        <v>30.122</v>
      </c>
      <c r="R48" s="10"/>
      <c r="S48" s="10">
        <v>99.901799999999994</v>
      </c>
      <c r="T48" s="10"/>
      <c r="U48" s="10"/>
      <c r="V48" s="10"/>
      <c r="W48" s="10"/>
      <c r="X48" s="10"/>
      <c r="Y48" s="10"/>
      <c r="Z48" s="10"/>
      <c r="AA48" s="10">
        <v>14.8865</v>
      </c>
      <c r="AB48" s="10"/>
      <c r="AC48" s="10"/>
      <c r="AD48" s="10"/>
      <c r="AE48" s="10"/>
      <c r="AF48" s="10"/>
      <c r="AG48" s="10"/>
      <c r="AH48" s="10"/>
      <c r="AI48" s="10">
        <v>14.629799999999999</v>
      </c>
      <c r="AJ48" s="10"/>
      <c r="AK48" s="10">
        <v>27.459399999999999</v>
      </c>
      <c r="AL48" s="10">
        <v>19.127700000000001</v>
      </c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</row>
    <row r="49" spans="1:49">
      <c r="A49" s="4">
        <v>43736</v>
      </c>
      <c r="B49">
        <v>47.752499999999998</v>
      </c>
      <c r="D49">
        <v>90.870800000000003</v>
      </c>
      <c r="F49" s="10">
        <v>10.5533</v>
      </c>
      <c r="G49" s="10"/>
      <c r="H49" s="10"/>
      <c r="I49" s="10">
        <v>8.6403999999999996</v>
      </c>
      <c r="J49" s="10">
        <v>56.033099999999997</v>
      </c>
      <c r="K49" s="10">
        <v>25.443100000000001</v>
      </c>
      <c r="L49" s="10"/>
      <c r="M49" s="10"/>
      <c r="N49" s="10"/>
      <c r="O49" s="10"/>
      <c r="P49" s="10">
        <v>42.806899999999999</v>
      </c>
      <c r="Q49" s="10">
        <v>30.303899999999999</v>
      </c>
      <c r="R49" s="10"/>
      <c r="S49" s="10">
        <v>100.6511</v>
      </c>
      <c r="T49" s="10"/>
      <c r="U49" s="10"/>
      <c r="V49" s="10"/>
      <c r="W49" s="10"/>
      <c r="X49" s="10"/>
      <c r="Y49" s="10"/>
      <c r="Z49" s="10"/>
      <c r="AA49" s="10">
        <v>14.650399999999999</v>
      </c>
      <c r="AB49" s="10"/>
      <c r="AC49" s="10"/>
      <c r="AD49" s="10"/>
      <c r="AE49" s="10"/>
      <c r="AF49" s="10"/>
      <c r="AG49" s="10"/>
      <c r="AH49" s="10"/>
      <c r="AI49" s="10">
        <v>14.831099999999999</v>
      </c>
      <c r="AJ49" s="10"/>
      <c r="AK49" s="10">
        <v>27.509899999999998</v>
      </c>
      <c r="AL49" s="10">
        <v>19.195</v>
      </c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</row>
    <row r="50" spans="1:49">
      <c r="A50" s="4">
        <v>43743</v>
      </c>
      <c r="B50">
        <v>46.305100000000003</v>
      </c>
      <c r="D50">
        <v>88.104500000000002</v>
      </c>
      <c r="F50" s="10">
        <v>10.5542</v>
      </c>
      <c r="G50" s="10"/>
      <c r="H50" s="10"/>
      <c r="I50" s="10">
        <v>8.6405999999999992</v>
      </c>
      <c r="J50" s="10">
        <v>54.801299999999998</v>
      </c>
      <c r="K50" s="10">
        <v>24.860499999999998</v>
      </c>
      <c r="L50" s="10"/>
      <c r="M50" s="10"/>
      <c r="N50" s="10"/>
      <c r="O50" s="10"/>
      <c r="P50" s="10">
        <v>41.931399999999996</v>
      </c>
      <c r="Q50" s="10">
        <v>29.818899999999999</v>
      </c>
      <c r="R50" s="10"/>
      <c r="S50" s="10">
        <v>98.610900000000001</v>
      </c>
      <c r="T50" s="10"/>
      <c r="U50" s="10"/>
      <c r="V50" s="10"/>
      <c r="W50" s="10"/>
      <c r="X50" s="10"/>
      <c r="Y50" s="10"/>
      <c r="Z50" s="10"/>
      <c r="AA50" s="10">
        <v>14.3949</v>
      </c>
      <c r="AB50" s="10"/>
      <c r="AC50" s="10"/>
      <c r="AD50" s="10"/>
      <c r="AE50" s="10"/>
      <c r="AF50" s="10"/>
      <c r="AG50" s="10"/>
      <c r="AH50" s="10"/>
      <c r="AI50" s="10">
        <v>14.458600000000001</v>
      </c>
      <c r="AJ50" s="10"/>
      <c r="AK50" s="10">
        <v>27.304400000000001</v>
      </c>
      <c r="AL50" s="10">
        <v>18.7547</v>
      </c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</row>
    <row r="51" spans="1:49">
      <c r="A51" s="4">
        <v>43751</v>
      </c>
      <c r="F51" s="10">
        <v>10.5573</v>
      </c>
      <c r="G51" s="10"/>
      <c r="H51" s="10"/>
      <c r="I51" s="10">
        <v>8.6638999999999999</v>
      </c>
      <c r="J51" s="10">
        <v>55.570300000000003</v>
      </c>
      <c r="K51" s="10">
        <v>25.1875</v>
      </c>
      <c r="L51" s="10"/>
      <c r="M51" s="10"/>
      <c r="N51" s="10"/>
      <c r="O51" s="10"/>
      <c r="P51" s="10">
        <v>42.320300000000003</v>
      </c>
      <c r="Q51" s="10">
        <v>30.033999999999999</v>
      </c>
      <c r="R51" s="10"/>
      <c r="S51" s="10">
        <v>99.525300000000001</v>
      </c>
      <c r="T51" s="10"/>
      <c r="U51" s="10"/>
      <c r="V51" s="10"/>
      <c r="W51" s="10"/>
      <c r="X51" s="10"/>
      <c r="Y51" s="10"/>
      <c r="Z51" s="10"/>
      <c r="AA51" s="10">
        <v>14.574299999999999</v>
      </c>
      <c r="AB51" s="10"/>
      <c r="AC51" s="10"/>
      <c r="AD51" s="10"/>
      <c r="AE51" s="10"/>
      <c r="AF51" s="10"/>
      <c r="AG51" s="10"/>
      <c r="AH51" s="10"/>
      <c r="AI51" s="10">
        <v>14.786199999999999</v>
      </c>
      <c r="AJ51" s="10"/>
      <c r="AK51" s="10">
        <v>27.472799999999999</v>
      </c>
      <c r="AL51" s="10">
        <v>19.130299999999998</v>
      </c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</row>
    <row r="52" spans="1:49">
      <c r="A52" s="4">
        <v>43757</v>
      </c>
      <c r="B52">
        <v>46.888300000000001</v>
      </c>
      <c r="D52">
        <v>89.328299999999999</v>
      </c>
      <c r="F52" s="10">
        <v>10.558999999999999</v>
      </c>
      <c r="G52" s="10"/>
      <c r="H52" s="10"/>
      <c r="I52" s="10">
        <v>8.9867000000000008</v>
      </c>
      <c r="J52" s="10">
        <v>55.784300000000002</v>
      </c>
      <c r="K52" s="10">
        <v>25.2349</v>
      </c>
      <c r="L52" s="10"/>
      <c r="M52" s="10"/>
      <c r="N52" s="10"/>
      <c r="O52" s="10"/>
      <c r="P52" s="10">
        <v>42.660499999999999</v>
      </c>
      <c r="Q52" s="10">
        <v>30.209099999999999</v>
      </c>
      <c r="R52" s="10"/>
      <c r="S52" s="10">
        <v>100.3241</v>
      </c>
      <c r="T52" s="10"/>
      <c r="U52" s="10"/>
      <c r="V52" s="10"/>
      <c r="W52" s="10"/>
      <c r="X52" s="10"/>
      <c r="Y52" s="10"/>
      <c r="Z52" s="10"/>
      <c r="AA52" s="10">
        <v>14.933199999999999</v>
      </c>
      <c r="AB52" s="10"/>
      <c r="AC52" s="10"/>
      <c r="AD52" s="10"/>
      <c r="AE52" s="10"/>
      <c r="AF52" s="10"/>
      <c r="AG52" s="10"/>
      <c r="AH52" s="10"/>
      <c r="AI52" s="10">
        <v>14.8696</v>
      </c>
      <c r="AJ52" s="10"/>
      <c r="AK52" s="10">
        <v>27.538699999999999</v>
      </c>
      <c r="AL52" s="10">
        <v>19.334499999999998</v>
      </c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</row>
    <row r="53" spans="1:49">
      <c r="A53" s="4">
        <v>43766</v>
      </c>
      <c r="B53">
        <v>46.221800000000002</v>
      </c>
      <c r="D53">
        <v>88.065200000000004</v>
      </c>
      <c r="F53" s="10">
        <v>10.562900000000001</v>
      </c>
      <c r="G53" s="10"/>
      <c r="H53" s="10"/>
      <c r="I53" s="10">
        <v>8.9212000000000007</v>
      </c>
      <c r="J53" s="10">
        <v>54.878599999999999</v>
      </c>
      <c r="K53" s="10">
        <v>24.784300000000002</v>
      </c>
      <c r="L53" s="10"/>
      <c r="M53" s="10"/>
      <c r="N53" s="10"/>
      <c r="O53" s="10"/>
      <c r="P53" s="10">
        <v>41.738799999999998</v>
      </c>
      <c r="Q53" s="10">
        <v>29.6816</v>
      </c>
      <c r="R53" s="10"/>
      <c r="S53" s="10">
        <v>98.168899999999994</v>
      </c>
      <c r="T53" s="10"/>
      <c r="U53" s="10"/>
      <c r="V53" s="10"/>
      <c r="W53" s="10"/>
      <c r="X53" s="10"/>
      <c r="Y53" s="10"/>
      <c r="Z53" s="10"/>
      <c r="AA53" s="10">
        <v>15.0785</v>
      </c>
      <c r="AB53" s="10"/>
      <c r="AC53" s="10"/>
      <c r="AD53" s="10"/>
      <c r="AE53" s="10"/>
      <c r="AF53" s="10"/>
      <c r="AG53" s="10"/>
      <c r="AH53" s="10"/>
      <c r="AI53" s="10">
        <v>14.525499999999999</v>
      </c>
      <c r="AJ53" s="10"/>
      <c r="AK53" s="10">
        <v>27.424199999999999</v>
      </c>
      <c r="AL53" s="10">
        <v>19.05</v>
      </c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</row>
    <row r="54" spans="1:49">
      <c r="A54" s="4">
        <v>43771</v>
      </c>
      <c r="B54">
        <v>46.288600000000002</v>
      </c>
      <c r="D54">
        <v>88.082800000000006</v>
      </c>
      <c r="F54" s="10">
        <v>10.5669</v>
      </c>
      <c r="G54" s="10"/>
      <c r="H54" s="10"/>
      <c r="I54" s="10">
        <v>9.1538000000000004</v>
      </c>
      <c r="J54" s="10">
        <v>54.882100000000001</v>
      </c>
      <c r="K54" s="10">
        <v>24.903700000000001</v>
      </c>
      <c r="L54" s="10"/>
      <c r="M54" s="10"/>
      <c r="N54" s="10"/>
      <c r="O54" s="10"/>
      <c r="P54" s="10">
        <v>41.508000000000003</v>
      </c>
      <c r="Q54" s="10">
        <v>29.5641</v>
      </c>
      <c r="R54" s="10"/>
      <c r="S54" s="10">
        <v>97.628399999999999</v>
      </c>
      <c r="T54" s="10"/>
      <c r="U54" s="10"/>
      <c r="V54" s="10"/>
      <c r="W54" s="10"/>
      <c r="X54" s="10"/>
      <c r="Y54" s="10"/>
      <c r="Z54" s="10"/>
      <c r="AA54" s="10">
        <v>15.180999999999999</v>
      </c>
      <c r="AB54" s="10"/>
      <c r="AC54" s="10"/>
      <c r="AD54" s="10"/>
      <c r="AE54" s="10"/>
      <c r="AF54" s="10"/>
      <c r="AG54" s="10"/>
      <c r="AH54" s="10"/>
      <c r="AI54" s="10">
        <v>14.407</v>
      </c>
      <c r="AJ54" s="10"/>
      <c r="AK54" s="10">
        <v>27.388100000000001</v>
      </c>
      <c r="AL54" s="10">
        <v>18.9148</v>
      </c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</row>
    <row r="55" spans="1:49">
      <c r="A55" s="4">
        <v>43779</v>
      </c>
      <c r="B55">
        <v>47.632399999999997</v>
      </c>
      <c r="D55">
        <v>90.605199999999996</v>
      </c>
      <c r="F55" s="10">
        <v>10.5764</v>
      </c>
      <c r="G55" s="10"/>
      <c r="H55" s="10"/>
      <c r="I55" s="10">
        <v>9.4811999999999994</v>
      </c>
      <c r="J55" s="10">
        <v>56.204900000000002</v>
      </c>
      <c r="K55" s="10">
        <v>24.7315</v>
      </c>
      <c r="L55" s="10"/>
      <c r="M55" s="10"/>
      <c r="N55" s="10"/>
      <c r="O55" s="10"/>
      <c r="P55" s="10">
        <v>42.401899999999998</v>
      </c>
      <c r="Q55" s="10">
        <v>30.038699999999999</v>
      </c>
      <c r="R55" s="10"/>
      <c r="S55" s="10">
        <v>99.734899999999996</v>
      </c>
      <c r="T55" s="10"/>
      <c r="U55" s="10"/>
      <c r="V55" s="10"/>
      <c r="W55" s="10"/>
      <c r="X55" s="10"/>
      <c r="Y55" s="10"/>
      <c r="Z55" s="10"/>
      <c r="AA55" s="10">
        <v>15.44</v>
      </c>
      <c r="AB55" s="10"/>
      <c r="AC55" s="10"/>
      <c r="AD55" s="10"/>
      <c r="AE55" s="10"/>
      <c r="AF55" s="10"/>
      <c r="AG55" s="10"/>
      <c r="AH55" s="10"/>
      <c r="AI55" s="10">
        <v>14.880599999999999</v>
      </c>
      <c r="AJ55" s="10"/>
      <c r="AK55" s="10">
        <v>27.662099999999999</v>
      </c>
      <c r="AL55" s="10">
        <v>19.5121</v>
      </c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</row>
    <row r="56" spans="1:49">
      <c r="A56" s="4">
        <v>43785</v>
      </c>
      <c r="B56">
        <v>46.898499999999999</v>
      </c>
      <c r="D56">
        <v>89.201899999999995</v>
      </c>
      <c r="F56" s="10">
        <v>10.5824</v>
      </c>
      <c r="G56" s="10"/>
      <c r="H56" s="10"/>
      <c r="I56" s="10">
        <v>9.1501000000000001</v>
      </c>
      <c r="J56" s="10">
        <v>55.019300000000001</v>
      </c>
      <c r="K56" s="10">
        <v>24.223600000000001</v>
      </c>
      <c r="L56" s="10"/>
      <c r="M56" s="10"/>
      <c r="N56" s="10"/>
      <c r="O56" s="10"/>
      <c r="P56" s="10">
        <v>41.540700000000001</v>
      </c>
      <c r="Q56" s="10">
        <v>29.569500000000001</v>
      </c>
      <c r="R56" s="10"/>
      <c r="S56" s="10">
        <v>97.73</v>
      </c>
      <c r="T56" s="10"/>
      <c r="U56" s="10"/>
      <c r="V56" s="10"/>
      <c r="W56" s="10"/>
      <c r="X56" s="10"/>
      <c r="Y56" s="10"/>
      <c r="Z56" s="10"/>
      <c r="AA56" s="10">
        <v>15.5116</v>
      </c>
      <c r="AB56" s="10"/>
      <c r="AC56" s="10"/>
      <c r="AD56" s="10"/>
      <c r="AE56" s="10"/>
      <c r="AF56" s="10"/>
      <c r="AG56" s="10"/>
      <c r="AH56" s="10"/>
      <c r="AI56" s="10">
        <v>14.4063</v>
      </c>
      <c r="AJ56" s="10"/>
      <c r="AK56" s="10">
        <v>27.473700000000001</v>
      </c>
      <c r="AL56" s="10">
        <v>19.145800000000001</v>
      </c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</row>
    <row r="57" spans="1:49">
      <c r="A57" s="4">
        <v>43792</v>
      </c>
      <c r="B57">
        <v>46.722200000000001</v>
      </c>
      <c r="D57">
        <v>88.961799999999997</v>
      </c>
      <c r="F57" s="10">
        <v>10.5847</v>
      </c>
      <c r="G57" s="10"/>
      <c r="H57" s="10"/>
      <c r="I57" s="10">
        <v>9.1430000000000007</v>
      </c>
      <c r="J57" s="10">
        <v>54.692500000000003</v>
      </c>
      <c r="K57" s="10">
        <v>23.967600000000001</v>
      </c>
      <c r="L57" s="10"/>
      <c r="M57" s="10"/>
      <c r="N57" s="10"/>
      <c r="O57" s="10"/>
      <c r="P57" s="10">
        <v>41.397100000000002</v>
      </c>
      <c r="Q57" s="10">
        <v>29.456900000000001</v>
      </c>
      <c r="R57" s="10"/>
      <c r="S57" s="10">
        <v>97.385999999999996</v>
      </c>
      <c r="T57" s="10"/>
      <c r="U57" s="10"/>
      <c r="V57" s="10"/>
      <c r="W57" s="10"/>
      <c r="X57" s="10"/>
      <c r="Y57" s="10"/>
      <c r="Z57" s="10"/>
      <c r="AA57" s="10">
        <v>15.525399999999999</v>
      </c>
      <c r="AB57" s="10"/>
      <c r="AC57" s="10"/>
      <c r="AD57" s="10"/>
      <c r="AE57" s="10"/>
      <c r="AF57" s="10"/>
      <c r="AG57" s="10"/>
      <c r="AH57" s="10"/>
      <c r="AI57" s="10">
        <v>14.4314</v>
      </c>
      <c r="AJ57" s="10"/>
      <c r="AK57" s="10">
        <v>27.441800000000001</v>
      </c>
      <c r="AL57" s="10">
        <v>19.021799999999999</v>
      </c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</row>
    <row r="58" spans="1:49">
      <c r="A58" s="4">
        <v>43799</v>
      </c>
      <c r="B58">
        <v>46.6248</v>
      </c>
      <c r="D58">
        <v>88.727500000000006</v>
      </c>
      <c r="F58" s="10">
        <v>10.589700000000001</v>
      </c>
      <c r="G58" s="10"/>
      <c r="H58" s="10"/>
      <c r="I58" s="10">
        <v>9.2322000000000006</v>
      </c>
      <c r="J58" s="10">
        <v>54.378</v>
      </c>
      <c r="K58" s="10">
        <v>23.752099999999999</v>
      </c>
      <c r="L58" s="10"/>
      <c r="M58" s="10"/>
      <c r="N58" s="10"/>
      <c r="O58" s="10"/>
      <c r="P58" s="10">
        <v>41.361699999999999</v>
      </c>
      <c r="Q58" s="10">
        <v>29.433199999999999</v>
      </c>
      <c r="R58" s="10"/>
      <c r="S58" s="10">
        <v>97.293400000000005</v>
      </c>
      <c r="T58" s="10"/>
      <c r="U58" s="10"/>
      <c r="V58" s="10"/>
      <c r="W58" s="10"/>
      <c r="X58" s="10"/>
      <c r="Y58" s="10"/>
      <c r="Z58" s="10"/>
      <c r="AA58" s="10">
        <v>15.848599999999999</v>
      </c>
      <c r="AB58" s="10"/>
      <c r="AC58" s="10"/>
      <c r="AD58" s="10"/>
      <c r="AE58" s="10"/>
      <c r="AF58" s="10"/>
      <c r="AG58" s="10"/>
      <c r="AH58" s="10"/>
      <c r="AI58" s="10">
        <v>14.453799999999999</v>
      </c>
      <c r="AJ58" s="10"/>
      <c r="AK58" s="10">
        <v>27.425899999999999</v>
      </c>
      <c r="AL58" s="10">
        <v>18.8185</v>
      </c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</row>
    <row r="59" spans="1:49">
      <c r="A59" s="4">
        <v>43807</v>
      </c>
      <c r="B59">
        <v>45.624000000000002</v>
      </c>
      <c r="D59">
        <v>86.864400000000003</v>
      </c>
      <c r="F59" s="10">
        <v>10.5931</v>
      </c>
      <c r="G59" s="10"/>
      <c r="H59" s="10"/>
      <c r="I59" s="10">
        <v>9.0126000000000008</v>
      </c>
      <c r="J59" s="10">
        <v>53.384</v>
      </c>
      <c r="K59" s="10">
        <v>23.2437</v>
      </c>
      <c r="L59" s="10"/>
      <c r="M59" s="10"/>
      <c r="N59" s="10"/>
      <c r="O59" s="10"/>
      <c r="P59" s="10">
        <v>40.513800000000003</v>
      </c>
      <c r="Q59" s="10">
        <v>28.927299999999999</v>
      </c>
      <c r="R59" s="10"/>
      <c r="S59" s="10">
        <v>95.318200000000004</v>
      </c>
      <c r="T59" s="10"/>
      <c r="U59" s="10"/>
      <c r="V59" s="10"/>
      <c r="W59" s="10"/>
      <c r="X59" s="10"/>
      <c r="Y59" s="10"/>
      <c r="Z59" s="10"/>
      <c r="AA59" s="10">
        <v>15.3766</v>
      </c>
      <c r="AB59" s="10"/>
      <c r="AC59" s="10"/>
      <c r="AD59" s="10"/>
      <c r="AE59" s="10"/>
      <c r="AF59" s="10"/>
      <c r="AG59" s="10"/>
      <c r="AH59" s="10"/>
      <c r="AI59" s="10">
        <v>14.1447</v>
      </c>
      <c r="AJ59" s="10"/>
      <c r="AK59" s="10">
        <v>27.240300000000001</v>
      </c>
      <c r="AL59" s="10">
        <v>18.520299999999999</v>
      </c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</row>
    <row r="60" spans="1:49">
      <c r="A60" s="4">
        <v>43813</v>
      </c>
      <c r="B60">
        <v>46.318300000000001</v>
      </c>
      <c r="D60">
        <v>88.082099999999997</v>
      </c>
      <c r="F60" s="12">
        <v>10.5966</v>
      </c>
      <c r="G60" s="10"/>
      <c r="H60" s="10"/>
      <c r="I60" s="10">
        <v>9.3259000000000007</v>
      </c>
      <c r="J60" s="10">
        <v>53.8962</v>
      </c>
      <c r="K60" s="10">
        <v>23.556100000000001</v>
      </c>
      <c r="L60" s="10"/>
      <c r="M60" s="10"/>
      <c r="N60" s="10"/>
      <c r="O60" s="10"/>
      <c r="P60" s="10">
        <v>40.748600000000003</v>
      </c>
      <c r="Q60" s="10">
        <v>29.017199999999999</v>
      </c>
      <c r="R60" s="10"/>
      <c r="S60" s="10">
        <v>95.875399999999999</v>
      </c>
      <c r="T60" s="10"/>
      <c r="U60" s="10"/>
      <c r="V60" s="10"/>
      <c r="W60" s="10"/>
      <c r="X60" s="10"/>
      <c r="Y60" s="10"/>
      <c r="Z60" s="10"/>
      <c r="AA60" s="10">
        <v>15.670199999999999</v>
      </c>
      <c r="AB60" s="10"/>
      <c r="AC60" s="10"/>
      <c r="AD60" s="10"/>
      <c r="AE60" s="10"/>
      <c r="AF60" s="10"/>
      <c r="AG60" s="10"/>
      <c r="AH60" s="10"/>
      <c r="AI60" s="10">
        <v>14.282</v>
      </c>
      <c r="AJ60" s="10"/>
      <c r="AK60" s="10">
        <v>27.353300000000001</v>
      </c>
      <c r="AL60" s="10">
        <v>18.687100000000001</v>
      </c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</row>
    <row r="61" spans="1:49">
      <c r="A61" s="4">
        <v>43820</v>
      </c>
      <c r="B61">
        <v>46.004600000000003</v>
      </c>
      <c r="D61">
        <v>87.415000000000006</v>
      </c>
      <c r="F61" s="10">
        <v>10.600099999999999</v>
      </c>
      <c r="G61" s="10"/>
      <c r="H61" s="10"/>
      <c r="I61" s="10">
        <v>9.5574999999999992</v>
      </c>
      <c r="J61" s="10">
        <v>54.008099999999999</v>
      </c>
      <c r="K61" s="10">
        <v>23.619499999999999</v>
      </c>
      <c r="L61" s="10"/>
      <c r="M61" s="10"/>
      <c r="N61" s="10"/>
      <c r="O61" s="10"/>
      <c r="P61" s="10">
        <v>40.444099999999999</v>
      </c>
      <c r="Q61" s="10">
        <v>28.854800000000001</v>
      </c>
      <c r="R61" s="10"/>
      <c r="S61" s="10">
        <v>95.160300000000007</v>
      </c>
      <c r="T61" s="10"/>
      <c r="U61" s="10"/>
      <c r="V61" s="10"/>
      <c r="W61" s="10"/>
      <c r="X61" s="10"/>
      <c r="Y61" s="10"/>
      <c r="Z61" s="10"/>
      <c r="AA61" s="10">
        <v>15.9855</v>
      </c>
      <c r="AB61" s="10"/>
      <c r="AC61" s="10"/>
      <c r="AD61" s="10"/>
      <c r="AE61" s="10"/>
      <c r="AF61" s="10"/>
      <c r="AG61" s="10"/>
      <c r="AH61" s="10"/>
      <c r="AI61" s="10">
        <v>14.2027</v>
      </c>
      <c r="AJ61" s="10"/>
      <c r="AK61" s="10">
        <v>27.3767</v>
      </c>
      <c r="AL61" s="10">
        <v>18.6845</v>
      </c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</row>
    <row r="62" spans="1:49">
      <c r="A62" s="4">
        <v>43829</v>
      </c>
      <c r="B62">
        <v>46.165199999999999</v>
      </c>
      <c r="D62">
        <v>87.670199999999994</v>
      </c>
      <c r="F62" s="10">
        <v>10.603899999999999</v>
      </c>
      <c r="I62" s="10">
        <v>9.5756999999999994</v>
      </c>
      <c r="J62" s="10">
        <v>54.008899999999997</v>
      </c>
      <c r="K62" s="10">
        <v>23.684699999999999</v>
      </c>
      <c r="L62" s="10"/>
      <c r="M62" s="10"/>
      <c r="N62" s="10"/>
      <c r="P62" s="10">
        <v>40.724800000000002</v>
      </c>
      <c r="Q62" s="10">
        <v>29.031500000000001</v>
      </c>
      <c r="R62" s="10"/>
      <c r="S62" s="10">
        <v>95.804500000000004</v>
      </c>
      <c r="T62" s="10"/>
      <c r="U62" s="10"/>
      <c r="V62" s="10"/>
      <c r="W62" s="10"/>
      <c r="X62" s="10"/>
      <c r="Y62" s="10"/>
      <c r="Z62" s="10"/>
      <c r="AA62" s="10">
        <v>16.211200000000002</v>
      </c>
      <c r="AB62" s="10"/>
      <c r="AC62" s="10"/>
      <c r="AD62" s="10"/>
      <c r="AE62" s="10"/>
      <c r="AF62" s="10"/>
      <c r="AG62" s="10"/>
      <c r="AH62" s="10"/>
      <c r="AI62" s="10">
        <v>14.3285</v>
      </c>
      <c r="AJ62" s="10"/>
      <c r="AK62" s="10">
        <v>27.3949</v>
      </c>
      <c r="AL62" s="10">
        <v>18.682099999999998</v>
      </c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</row>
    <row r="63" spans="1:49">
      <c r="A63" s="4">
        <v>43835</v>
      </c>
      <c r="B63">
        <v>46.4482</v>
      </c>
      <c r="D63">
        <v>88.244699999999995</v>
      </c>
      <c r="F63" s="10">
        <v>10.610799999999999</v>
      </c>
      <c r="I63" s="10">
        <v>9.8109000000000002</v>
      </c>
      <c r="J63" s="10">
        <v>54.463799999999999</v>
      </c>
      <c r="K63" s="10">
        <v>23.942</v>
      </c>
      <c r="L63" s="10"/>
      <c r="M63" s="10"/>
      <c r="N63" s="10"/>
      <c r="P63" s="10">
        <v>40.804600000000001</v>
      </c>
      <c r="Q63" s="10">
        <v>29.059000000000001</v>
      </c>
      <c r="R63" s="10"/>
      <c r="S63" s="10">
        <v>95.995000000000005</v>
      </c>
      <c r="T63" s="10"/>
      <c r="U63" s="10"/>
      <c r="V63" s="10"/>
      <c r="W63" s="10"/>
      <c r="X63" s="10"/>
      <c r="Y63" s="10"/>
      <c r="Z63" s="10"/>
      <c r="AA63" s="10">
        <v>16.398299999999999</v>
      </c>
      <c r="AB63" s="10"/>
      <c r="AC63" s="10"/>
      <c r="AD63" s="10"/>
      <c r="AE63" s="10"/>
      <c r="AF63" s="10"/>
      <c r="AG63" s="10"/>
      <c r="AH63" s="10"/>
      <c r="AI63" s="10">
        <v>14.4604</v>
      </c>
      <c r="AJ63" s="10"/>
      <c r="AK63" s="10">
        <v>27.549499999999998</v>
      </c>
      <c r="AL63" s="10">
        <v>18.921399999999998</v>
      </c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</row>
    <row r="64" spans="1:49">
      <c r="A64" s="4">
        <v>43842</v>
      </c>
      <c r="B64">
        <v>45.872500000000002</v>
      </c>
      <c r="D64">
        <v>87.278999999999996</v>
      </c>
      <c r="F64" s="10">
        <v>10.6122</v>
      </c>
      <c r="I64" s="10">
        <v>9.8536999999999999</v>
      </c>
      <c r="J64" s="10">
        <v>53.9</v>
      </c>
      <c r="K64" s="10">
        <v>23.739799999999999</v>
      </c>
      <c r="L64" s="10"/>
      <c r="M64" s="10"/>
      <c r="N64" s="10"/>
      <c r="P64" s="10">
        <v>40.800699999999999</v>
      </c>
      <c r="Q64" s="10">
        <v>29.0715</v>
      </c>
      <c r="R64" s="10"/>
      <c r="S64" s="10">
        <v>95.998699999999999</v>
      </c>
      <c r="T64" s="10"/>
      <c r="U64" s="10"/>
      <c r="V64" s="10"/>
      <c r="W64" s="10"/>
      <c r="X64" s="10"/>
      <c r="Y64" s="10"/>
      <c r="Z64" s="10"/>
      <c r="AA64" s="10">
        <v>16.606400000000001</v>
      </c>
      <c r="AB64" s="10"/>
      <c r="AC64" s="10"/>
      <c r="AD64" s="10"/>
      <c r="AE64" s="10"/>
      <c r="AF64" s="10"/>
      <c r="AG64" s="10"/>
      <c r="AH64" s="10"/>
      <c r="AI64" s="10">
        <v>14.284000000000001</v>
      </c>
      <c r="AJ64" s="10"/>
      <c r="AK64" s="10">
        <v>27.4697</v>
      </c>
      <c r="AL64" s="10">
        <v>18.901199999999999</v>
      </c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</row>
    <row r="65" spans="1:50">
      <c r="A65" s="4">
        <v>43848</v>
      </c>
      <c r="B65">
        <v>46.470300000000002</v>
      </c>
      <c r="D65">
        <v>88.432599999999994</v>
      </c>
      <c r="F65" s="10">
        <v>10.6142</v>
      </c>
      <c r="I65" s="10">
        <v>9.9661000000000008</v>
      </c>
      <c r="J65" s="10">
        <v>54.508899999999997</v>
      </c>
      <c r="K65" s="10">
        <v>23.895800000000001</v>
      </c>
      <c r="L65" s="10"/>
      <c r="M65" s="10"/>
      <c r="N65" s="10"/>
      <c r="P65" s="10">
        <v>41.298000000000002</v>
      </c>
      <c r="Q65" s="10">
        <v>29.3431</v>
      </c>
      <c r="R65" s="10"/>
      <c r="S65" s="10">
        <v>97.162099999999995</v>
      </c>
      <c r="T65" s="10"/>
      <c r="U65" s="10"/>
      <c r="V65" s="10"/>
      <c r="W65" s="10"/>
      <c r="X65" s="10"/>
      <c r="Y65" s="10"/>
      <c r="Z65" s="10"/>
      <c r="AA65" s="10">
        <v>16.845300000000002</v>
      </c>
      <c r="AB65" s="10"/>
      <c r="AC65" s="10"/>
      <c r="AD65" s="10"/>
      <c r="AE65" s="10"/>
      <c r="AF65" s="10"/>
      <c r="AG65" s="10"/>
      <c r="AH65" s="10"/>
      <c r="AI65">
        <v>14.649699999999999</v>
      </c>
      <c r="AK65">
        <v>27.5717</v>
      </c>
      <c r="AL65" s="10">
        <v>19.214300000000001</v>
      </c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</row>
    <row r="66" spans="1:50">
      <c r="A66" s="4">
        <v>43856</v>
      </c>
      <c r="B66">
        <v>45.593400000000003</v>
      </c>
      <c r="D66">
        <v>86.889499999999998</v>
      </c>
      <c r="F66" s="10">
        <v>10.618499999999999</v>
      </c>
      <c r="I66" s="10">
        <v>9.7022999999999993</v>
      </c>
      <c r="J66" s="10">
        <v>53.336500000000001</v>
      </c>
      <c r="K66" s="10">
        <v>23.341200000000001</v>
      </c>
      <c r="L66" s="10"/>
      <c r="M66" s="10"/>
      <c r="N66" s="10"/>
      <c r="P66" s="10">
        <v>40.582999999999998</v>
      </c>
      <c r="Q66" s="10">
        <v>28.9101</v>
      </c>
      <c r="R66" s="10"/>
      <c r="S66" s="10">
        <v>95.497799999999998</v>
      </c>
      <c r="T66" s="10"/>
      <c r="U66" s="10"/>
      <c r="V66" s="10"/>
      <c r="W66" s="10"/>
      <c r="X66" s="10"/>
      <c r="Y66" s="10"/>
      <c r="Z66" s="10"/>
      <c r="AA66" s="10">
        <v>17.02</v>
      </c>
      <c r="AB66" s="10"/>
      <c r="AC66" s="10"/>
      <c r="AD66" s="10"/>
      <c r="AE66" s="10"/>
      <c r="AF66" s="10"/>
      <c r="AG66" s="10"/>
      <c r="AH66" s="10"/>
      <c r="AI66" s="10">
        <v>14.356</v>
      </c>
      <c r="AJ66" s="10"/>
      <c r="AK66" s="10">
        <v>27.343599999999999</v>
      </c>
      <c r="AL66" s="10">
        <v>18.860499999999998</v>
      </c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</row>
    <row r="67" spans="1:50">
      <c r="A67" s="4">
        <v>43863</v>
      </c>
      <c r="B67">
        <v>43.632800000000003</v>
      </c>
      <c r="D67">
        <v>83.262799999999999</v>
      </c>
      <c r="F67" s="10">
        <v>10.6225</v>
      </c>
      <c r="I67" s="10">
        <v>9.1275999999999993</v>
      </c>
      <c r="J67" s="10">
        <v>51.5032</v>
      </c>
      <c r="K67" s="10">
        <v>22.529900000000001</v>
      </c>
      <c r="L67" s="10"/>
      <c r="M67" s="10"/>
      <c r="N67" s="10"/>
      <c r="P67" s="10">
        <v>38.997399999999999</v>
      </c>
      <c r="Q67" s="10">
        <v>27.985299999999999</v>
      </c>
      <c r="R67" s="10"/>
      <c r="S67" s="10">
        <v>91.7684</v>
      </c>
      <c r="T67" s="10"/>
      <c r="U67" s="10"/>
      <c r="V67" s="10"/>
      <c r="W67" s="10"/>
      <c r="X67" s="10"/>
      <c r="Y67" s="10"/>
      <c r="Z67" s="10"/>
      <c r="AA67" s="10">
        <v>16.890999999999998</v>
      </c>
      <c r="AB67" s="10"/>
      <c r="AC67" s="10"/>
      <c r="AD67" s="10"/>
      <c r="AE67" s="10"/>
      <c r="AF67" s="10"/>
      <c r="AG67" s="10"/>
      <c r="AH67" s="10"/>
      <c r="AI67" s="10">
        <v>13.884</v>
      </c>
      <c r="AJ67" s="10"/>
      <c r="AK67" s="10">
        <v>27.002199999999998</v>
      </c>
      <c r="AL67" s="10">
        <v>18.174199999999999</v>
      </c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</row>
    <row r="68" spans="1:50">
      <c r="A68" s="4">
        <v>43869</v>
      </c>
      <c r="B68">
        <v>44.194299999999998</v>
      </c>
      <c r="D68">
        <v>84.275099999999995</v>
      </c>
      <c r="F68" s="10">
        <v>10.630800000000001</v>
      </c>
      <c r="I68" s="10">
        <v>9.5929000000000002</v>
      </c>
      <c r="J68" s="10">
        <v>52.316200000000002</v>
      </c>
      <c r="K68" s="10">
        <v>22.765000000000001</v>
      </c>
      <c r="L68" s="10"/>
      <c r="M68" s="10"/>
      <c r="N68" s="10"/>
      <c r="P68" s="10">
        <v>39.4801</v>
      </c>
      <c r="Q68" s="10">
        <v>28.248999999999999</v>
      </c>
      <c r="R68" s="10"/>
      <c r="S68" s="10">
        <v>92.879400000000004</v>
      </c>
      <c r="T68" s="10"/>
      <c r="U68" s="10"/>
      <c r="V68" s="10"/>
      <c r="W68" s="10"/>
      <c r="X68" s="10"/>
      <c r="Y68" s="10"/>
      <c r="Z68" s="10"/>
      <c r="AA68" s="10">
        <v>17.468699999999998</v>
      </c>
      <c r="AB68" s="10"/>
      <c r="AC68" s="10"/>
      <c r="AD68" s="10"/>
      <c r="AE68" s="10"/>
      <c r="AF68" s="10"/>
      <c r="AG68" s="10"/>
      <c r="AH68" s="10"/>
      <c r="AI68" s="10">
        <v>14.2271</v>
      </c>
      <c r="AJ68" s="10"/>
      <c r="AK68" s="10">
        <v>27.206600000000002</v>
      </c>
      <c r="AL68" s="10">
        <v>18.452000000000002</v>
      </c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</row>
    <row r="69" spans="1:50">
      <c r="A69" s="4">
        <v>43876</v>
      </c>
      <c r="B69">
        <v>43.942</v>
      </c>
      <c r="D69">
        <v>83.806700000000006</v>
      </c>
      <c r="F69" s="10">
        <v>10.6356</v>
      </c>
      <c r="I69" s="10">
        <v>9.6053999999999995</v>
      </c>
      <c r="J69" s="10">
        <v>51.9895</v>
      </c>
      <c r="K69" s="10">
        <v>22.6187</v>
      </c>
      <c r="L69" s="10"/>
      <c r="M69" s="10"/>
      <c r="N69" s="10"/>
      <c r="P69" s="10">
        <v>39.223799999999997</v>
      </c>
      <c r="Q69" s="10">
        <v>28.061</v>
      </c>
      <c r="R69" s="10"/>
      <c r="S69" s="10">
        <v>92.284599999999998</v>
      </c>
      <c r="T69" s="10"/>
      <c r="U69" s="10"/>
      <c r="V69" s="10"/>
      <c r="W69" s="10"/>
      <c r="X69" s="10"/>
      <c r="Y69" s="10"/>
      <c r="Z69" s="10"/>
      <c r="AA69" s="10">
        <v>17.757100000000001</v>
      </c>
      <c r="AB69" s="10"/>
      <c r="AC69" s="10"/>
      <c r="AD69" s="10"/>
      <c r="AE69" s="10"/>
      <c r="AF69" s="10"/>
      <c r="AG69" s="10"/>
      <c r="AH69" s="10"/>
      <c r="AI69" s="10">
        <v>14.3134</v>
      </c>
      <c r="AJ69" s="10"/>
      <c r="AK69" s="10">
        <v>27.186699999999998</v>
      </c>
      <c r="AL69" s="10">
        <v>18.385300000000001</v>
      </c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</row>
    <row r="70" spans="1:50">
      <c r="A70" s="4">
        <v>43883</v>
      </c>
      <c r="B70">
        <v>42.960999999999999</v>
      </c>
      <c r="D70">
        <v>81.941699999999997</v>
      </c>
      <c r="F70" s="10">
        <v>10.639200000000001</v>
      </c>
      <c r="I70" s="10">
        <v>9.5550999999999995</v>
      </c>
      <c r="J70" s="10">
        <v>51.316899999999997</v>
      </c>
      <c r="K70" s="10">
        <v>22.365400000000001</v>
      </c>
      <c r="L70" s="10"/>
      <c r="M70" s="10"/>
      <c r="N70" s="10"/>
      <c r="P70" s="10">
        <v>38.555700000000002</v>
      </c>
      <c r="Q70" s="10">
        <v>27.682300000000001</v>
      </c>
      <c r="R70" s="10"/>
      <c r="S70" s="10">
        <v>90.734099999999998</v>
      </c>
      <c r="T70" s="10"/>
      <c r="U70" s="10"/>
      <c r="V70" s="10"/>
      <c r="W70" s="10"/>
      <c r="X70" s="10"/>
      <c r="Y70" s="10"/>
      <c r="Z70" s="10"/>
      <c r="AA70" s="10">
        <v>17.8218</v>
      </c>
      <c r="AB70" s="10"/>
      <c r="AC70" s="10"/>
      <c r="AD70" s="10"/>
      <c r="AE70" s="10"/>
      <c r="AF70" s="10"/>
      <c r="AG70" s="10"/>
      <c r="AH70" s="10"/>
      <c r="AI70" s="10">
        <v>13.869300000000001</v>
      </c>
      <c r="AJ70" s="10"/>
      <c r="AK70" s="10">
        <v>27.0258</v>
      </c>
      <c r="AL70" s="10">
        <v>18.108699999999999</v>
      </c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</row>
    <row r="71" spans="1:50">
      <c r="A71" s="4">
        <v>43890</v>
      </c>
      <c r="B71">
        <v>38.893999999999998</v>
      </c>
      <c r="D71">
        <v>74.442999999999998</v>
      </c>
      <c r="F71" s="10">
        <v>10.6403</v>
      </c>
      <c r="I71" s="10">
        <v>9.2194000000000003</v>
      </c>
      <c r="J71" s="10">
        <v>47.397300000000001</v>
      </c>
      <c r="K71" s="10">
        <v>20.451499999999999</v>
      </c>
      <c r="L71" s="10"/>
      <c r="M71" s="10"/>
      <c r="N71" s="10"/>
      <c r="P71" s="10">
        <v>35.202500000000001</v>
      </c>
      <c r="Q71" s="10">
        <v>25.716899999999999</v>
      </c>
      <c r="R71" s="10"/>
      <c r="S71" s="10">
        <v>89.9024</v>
      </c>
      <c r="T71" s="10"/>
      <c r="U71" s="10"/>
      <c r="V71" s="10"/>
      <c r="W71" s="10"/>
      <c r="X71" s="10"/>
      <c r="Y71" s="10"/>
      <c r="Z71" s="10"/>
      <c r="AA71" s="10">
        <v>15.528600000000001</v>
      </c>
      <c r="AB71" s="10"/>
      <c r="AC71" s="10"/>
      <c r="AD71" s="10"/>
      <c r="AE71" s="10"/>
      <c r="AF71" s="10"/>
      <c r="AG71" s="10"/>
      <c r="AH71" s="10"/>
      <c r="AI71" s="10">
        <v>12.487</v>
      </c>
      <c r="AJ71" s="10"/>
      <c r="AK71" s="10">
        <v>26.012</v>
      </c>
      <c r="AL71" s="10">
        <v>16.326799999999999</v>
      </c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</row>
    <row r="72" spans="1:50">
      <c r="A72" s="4">
        <v>43897</v>
      </c>
      <c r="B72">
        <v>39.635899999999999</v>
      </c>
      <c r="D72">
        <v>75.916899999999998</v>
      </c>
      <c r="F72" s="10">
        <v>10.642099999999999</v>
      </c>
      <c r="I72" s="10">
        <v>9.4209999999999994</v>
      </c>
      <c r="J72" s="10">
        <v>48.039099999999998</v>
      </c>
      <c r="K72" s="10">
        <v>20.7468</v>
      </c>
      <c r="L72" s="10"/>
      <c r="M72" s="10"/>
      <c r="N72" s="10"/>
      <c r="P72" s="10">
        <v>35.958199999999998</v>
      </c>
      <c r="Q72" s="10">
        <v>26.1523</v>
      </c>
      <c r="R72" s="10"/>
      <c r="S72" s="10">
        <v>84.657499999999999</v>
      </c>
      <c r="T72" s="10"/>
      <c r="U72" s="10"/>
      <c r="V72" s="10"/>
      <c r="W72" s="10"/>
      <c r="X72" s="10"/>
      <c r="Y72" s="10"/>
      <c r="Z72" s="10"/>
      <c r="AA72" s="10">
        <v>15.597099999999999</v>
      </c>
      <c r="AB72" s="10"/>
      <c r="AC72" s="10"/>
      <c r="AD72" s="10"/>
      <c r="AE72" s="10"/>
      <c r="AF72" s="10"/>
      <c r="AG72" s="10"/>
      <c r="AH72" s="10"/>
      <c r="AI72" s="10">
        <v>12.760899999999999</v>
      </c>
      <c r="AJ72" s="10"/>
      <c r="AK72" s="10">
        <v>26.255099999999999</v>
      </c>
      <c r="AL72" s="10">
        <v>16.513500000000001</v>
      </c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</row>
    <row r="73" spans="1:50">
      <c r="A73" s="4">
        <v>43904</v>
      </c>
      <c r="B73">
        <v>32.7821</v>
      </c>
      <c r="D73">
        <v>63.123399999999997</v>
      </c>
      <c r="F73" s="10">
        <v>10.6312</v>
      </c>
      <c r="I73" s="10">
        <v>8.4756</v>
      </c>
      <c r="J73" s="10">
        <v>41.053800000000003</v>
      </c>
      <c r="K73" s="10">
        <v>17.197600000000001</v>
      </c>
      <c r="L73" s="10"/>
      <c r="M73" s="10"/>
      <c r="N73" s="10"/>
      <c r="P73" s="10">
        <v>30.538799999999998</v>
      </c>
      <c r="Q73" s="10">
        <v>22.8735</v>
      </c>
      <c r="R73" s="10"/>
      <c r="S73" s="10">
        <v>72.024500000000003</v>
      </c>
      <c r="T73" s="10"/>
      <c r="U73" s="10"/>
      <c r="V73" s="10"/>
      <c r="W73" s="10"/>
      <c r="X73" s="10"/>
      <c r="Y73" s="10"/>
      <c r="Z73" s="10"/>
      <c r="AA73" s="10">
        <v>13.029299999999999</v>
      </c>
      <c r="AB73" s="10"/>
      <c r="AC73" s="10"/>
      <c r="AD73" s="10"/>
      <c r="AE73" s="10"/>
      <c r="AF73" s="10"/>
      <c r="AG73" s="10"/>
      <c r="AH73" s="10"/>
      <c r="AI73" s="10">
        <v>10.692399999999999</v>
      </c>
      <c r="AJ73" s="10"/>
      <c r="AK73" s="10">
        <v>24.631699999999999</v>
      </c>
      <c r="AL73" s="10">
        <v>13.804600000000001</v>
      </c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</row>
    <row r="74" spans="1:50">
      <c r="A74" s="4">
        <v>43911</v>
      </c>
      <c r="B74">
        <v>32.058999999999997</v>
      </c>
      <c r="D74">
        <v>61.696899999999999</v>
      </c>
      <c r="F74" s="10">
        <v>10.6256</v>
      </c>
      <c r="I74" s="10">
        <v>7.3715999999999999</v>
      </c>
      <c r="J74" s="10">
        <v>40.752600000000001</v>
      </c>
      <c r="K74" s="10">
        <v>16.898199999999999</v>
      </c>
      <c r="L74" s="10"/>
      <c r="M74" s="10"/>
      <c r="N74" s="10"/>
      <c r="P74" s="10">
        <v>31.097200000000001</v>
      </c>
      <c r="Q74" s="10">
        <v>23.2773</v>
      </c>
      <c r="R74" s="10"/>
      <c r="S74" s="10">
        <v>73.3566</v>
      </c>
      <c r="T74" s="10"/>
      <c r="U74" s="10"/>
      <c r="V74" s="10"/>
      <c r="W74" s="10"/>
      <c r="X74" s="10"/>
      <c r="Y74" s="10"/>
      <c r="Z74" s="10"/>
      <c r="AA74" s="10">
        <v>13.071</v>
      </c>
      <c r="AB74" s="10"/>
      <c r="AC74" s="10"/>
      <c r="AD74" s="10"/>
      <c r="AE74" s="10"/>
      <c r="AF74" s="10"/>
      <c r="AG74" s="10"/>
      <c r="AH74" s="10"/>
      <c r="AI74" s="10">
        <v>10.485099999999999</v>
      </c>
      <c r="AJ74" s="10"/>
      <c r="AK74" s="10">
        <v>24.6233</v>
      </c>
      <c r="AL74" s="10">
        <v>13.930999999999999</v>
      </c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</row>
    <row r="75" spans="1:50">
      <c r="A75" s="4">
        <v>43918</v>
      </c>
      <c r="B75">
        <v>31.346599999999999</v>
      </c>
      <c r="D75">
        <v>60.328600000000002</v>
      </c>
      <c r="F75" s="10">
        <v>10.6373</v>
      </c>
      <c r="I75" s="10">
        <v>8.0106999999999999</v>
      </c>
      <c r="J75" s="10">
        <v>40.124499999999998</v>
      </c>
      <c r="K75" s="10">
        <v>16.6036</v>
      </c>
      <c r="L75" s="10"/>
      <c r="M75" s="10"/>
      <c r="N75" s="10"/>
      <c r="P75" s="10">
        <v>30.473299999999998</v>
      </c>
      <c r="Q75" s="10">
        <v>22.956099999999999</v>
      </c>
      <c r="R75" s="10"/>
      <c r="S75" s="10">
        <v>71.873999999999995</v>
      </c>
      <c r="T75" s="10"/>
      <c r="U75" s="10"/>
      <c r="V75" s="10"/>
      <c r="W75" s="10"/>
      <c r="X75" s="10"/>
      <c r="Y75" s="10"/>
      <c r="Z75" s="10"/>
      <c r="AA75" s="10">
        <v>14.210900000000001</v>
      </c>
      <c r="AB75" s="10"/>
      <c r="AC75" s="10"/>
      <c r="AD75" s="10"/>
      <c r="AE75" s="10"/>
      <c r="AF75" s="10"/>
      <c r="AG75" s="10"/>
      <c r="AH75" s="10"/>
      <c r="AI75" s="10">
        <v>9.9845000000000006</v>
      </c>
      <c r="AJ75" s="10"/>
      <c r="AK75" s="10">
        <v>24.4953</v>
      </c>
      <c r="AL75" s="10">
        <v>13.6188</v>
      </c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</row>
    <row r="76" spans="1:50">
      <c r="A76" s="4">
        <v>43925</v>
      </c>
      <c r="B76">
        <v>32.183500000000002</v>
      </c>
      <c r="D76">
        <v>61.834699999999998</v>
      </c>
      <c r="F76" s="10">
        <v>10.6355</v>
      </c>
      <c r="I76" s="10">
        <v>7.9394</v>
      </c>
      <c r="J76" s="10">
        <v>41.165399999999998</v>
      </c>
      <c r="K76" s="10">
        <v>17.063199999999998</v>
      </c>
      <c r="L76" s="10"/>
      <c r="M76" s="10"/>
      <c r="N76" s="10"/>
      <c r="P76" s="10">
        <v>31.198799999999999</v>
      </c>
      <c r="Q76" s="10">
        <v>23.394400000000001</v>
      </c>
      <c r="R76" s="10"/>
      <c r="S76" s="10">
        <v>73.562799999999996</v>
      </c>
      <c r="T76" s="10"/>
      <c r="U76" s="10"/>
      <c r="V76" s="10"/>
      <c r="W76" s="10"/>
      <c r="X76" s="10"/>
      <c r="Y76" s="10"/>
      <c r="Z76" s="10"/>
      <c r="AA76" s="10">
        <v>13.754</v>
      </c>
      <c r="AB76" s="10"/>
      <c r="AC76" s="10"/>
      <c r="AD76" s="10"/>
      <c r="AE76" s="10"/>
      <c r="AF76" s="10"/>
      <c r="AG76" s="10"/>
      <c r="AH76" s="10"/>
      <c r="AI76" s="10">
        <v>10.3188</v>
      </c>
      <c r="AJ76" s="10"/>
      <c r="AK76" s="10">
        <v>24.745000000000001</v>
      </c>
      <c r="AL76" s="10">
        <v>13.9686</v>
      </c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</row>
    <row r="77" spans="1:50">
      <c r="A77" s="4">
        <v>43932</v>
      </c>
      <c r="B77">
        <v>35.265300000000003</v>
      </c>
      <c r="D77">
        <v>67.750299999999996</v>
      </c>
      <c r="F77" s="10">
        <v>10.638400000000001</v>
      </c>
      <c r="I77" s="10">
        <v>8.3434000000000008</v>
      </c>
      <c r="J77" s="10">
        <v>43.698399999999999</v>
      </c>
      <c r="K77" s="10">
        <v>18.2591</v>
      </c>
      <c r="L77" s="10"/>
      <c r="M77" s="10"/>
      <c r="N77" s="10"/>
      <c r="P77" s="10">
        <v>33.519500000000001</v>
      </c>
      <c r="Q77" s="10">
        <v>24.798999999999999</v>
      </c>
      <c r="R77" s="10"/>
      <c r="S77" s="10">
        <v>78.936000000000007</v>
      </c>
      <c r="T77" s="10"/>
      <c r="U77" s="10"/>
      <c r="V77" s="10"/>
      <c r="W77" s="10"/>
      <c r="X77" s="10"/>
      <c r="Y77" s="10"/>
      <c r="Z77" s="10"/>
      <c r="AA77" s="10">
        <v>14.8773</v>
      </c>
      <c r="AB77" s="10"/>
      <c r="AC77" s="10"/>
      <c r="AD77" s="10"/>
      <c r="AE77" s="10"/>
      <c r="AF77" s="10"/>
      <c r="AG77" s="10"/>
      <c r="AH77" s="10"/>
      <c r="AI77" s="10">
        <v>11.3721</v>
      </c>
      <c r="AJ77" s="10"/>
      <c r="AK77" s="10">
        <v>25.3748</v>
      </c>
      <c r="AL77" s="10">
        <v>15.067600000000001</v>
      </c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</row>
    <row r="78" spans="1:50">
      <c r="A78" s="4">
        <v>43939</v>
      </c>
      <c r="B78">
        <v>35.598500000000001</v>
      </c>
      <c r="D78">
        <v>68.457700000000003</v>
      </c>
      <c r="F78" s="10">
        <v>10.6418</v>
      </c>
      <c r="I78" s="10">
        <v>8.3336000000000006</v>
      </c>
      <c r="J78" s="10">
        <v>43.681899999999999</v>
      </c>
      <c r="K78" s="10">
        <v>18.421299999999999</v>
      </c>
      <c r="L78" s="10"/>
      <c r="M78" s="10"/>
      <c r="N78" s="10"/>
      <c r="P78" s="10">
        <v>33.532400000000003</v>
      </c>
      <c r="Q78" s="10">
        <v>24.782699999999998</v>
      </c>
      <c r="R78" s="10"/>
      <c r="S78" s="10">
        <v>78.983199999999997</v>
      </c>
      <c r="T78" s="10"/>
      <c r="U78" s="10"/>
      <c r="V78" s="10"/>
      <c r="W78" s="10"/>
      <c r="X78" s="10"/>
      <c r="Y78" s="10"/>
      <c r="Z78" s="10"/>
      <c r="AA78" s="10">
        <v>15.807499999999999</v>
      </c>
      <c r="AB78" s="10"/>
      <c r="AC78" s="10"/>
      <c r="AD78" s="10"/>
      <c r="AE78" s="10"/>
      <c r="AF78" s="10"/>
      <c r="AG78" s="10"/>
      <c r="AH78" s="10"/>
      <c r="AI78" s="10">
        <v>11.4703</v>
      </c>
      <c r="AJ78" s="10"/>
      <c r="AK78" s="10">
        <v>25.437899999999999</v>
      </c>
      <c r="AL78" s="10">
        <v>15.1867</v>
      </c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</row>
    <row r="79" spans="1:50">
      <c r="A79" s="4">
        <v>43946</v>
      </c>
      <c r="B79">
        <v>35.503900000000002</v>
      </c>
      <c r="D79">
        <v>68.249799999999993</v>
      </c>
      <c r="F79" s="10">
        <v>10.6464</v>
      </c>
      <c r="I79" s="10">
        <v>8.3649000000000004</v>
      </c>
      <c r="J79" s="10">
        <v>44.321100000000001</v>
      </c>
      <c r="K79" s="10">
        <v>18.691700000000001</v>
      </c>
      <c r="L79" s="10"/>
      <c r="M79" s="10"/>
      <c r="N79" s="10"/>
      <c r="P79" s="10">
        <v>34.1389</v>
      </c>
      <c r="Q79" s="10">
        <v>25.141200000000001</v>
      </c>
      <c r="R79" s="10"/>
      <c r="S79" s="10">
        <v>80.365600000000001</v>
      </c>
      <c r="T79" s="10"/>
      <c r="U79" s="10"/>
      <c r="V79" s="10"/>
      <c r="W79" s="10"/>
      <c r="X79" s="10"/>
      <c r="Y79" s="10"/>
      <c r="Z79" s="10"/>
      <c r="AA79" s="10">
        <v>15.5786</v>
      </c>
      <c r="AB79" s="10"/>
      <c r="AC79" s="10"/>
      <c r="AD79" s="10"/>
      <c r="AE79" s="10"/>
      <c r="AF79" s="10"/>
      <c r="AG79" s="10"/>
      <c r="AH79" s="10"/>
      <c r="AI79" s="10">
        <v>11.7247</v>
      </c>
      <c r="AJ79" s="10"/>
      <c r="AK79" s="10">
        <v>25.573599999999999</v>
      </c>
      <c r="AL79" s="10">
        <v>15.3818</v>
      </c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</row>
    <row r="80" spans="1:50">
      <c r="A80" s="4">
        <v>43953</v>
      </c>
      <c r="B80">
        <v>36.9026</v>
      </c>
      <c r="D80">
        <v>70.924599999999998</v>
      </c>
      <c r="F80" s="10">
        <v>10.6478</v>
      </c>
      <c r="I80" s="10">
        <v>8.5555000000000003</v>
      </c>
      <c r="J80" s="10">
        <v>45.528599999999997</v>
      </c>
      <c r="K80" s="10">
        <v>19.261600000000001</v>
      </c>
      <c r="L80" s="10"/>
      <c r="M80" s="10"/>
      <c r="N80" s="10"/>
      <c r="P80" s="10">
        <v>35.294600000000003</v>
      </c>
      <c r="Q80" s="10">
        <v>25.843</v>
      </c>
      <c r="R80" s="10"/>
      <c r="S80" s="10">
        <v>83.058499999999995</v>
      </c>
      <c r="T80" s="10"/>
      <c r="U80" s="10"/>
      <c r="V80" s="10"/>
      <c r="W80" s="10"/>
      <c r="X80" s="10"/>
      <c r="Y80" s="10"/>
      <c r="Z80" s="10"/>
      <c r="AA80" s="10">
        <v>16.211500000000001</v>
      </c>
      <c r="AB80" s="10"/>
      <c r="AC80" s="10"/>
      <c r="AD80" s="10"/>
      <c r="AE80" s="10"/>
      <c r="AF80" s="10"/>
      <c r="AG80" s="10"/>
      <c r="AH80" s="10"/>
      <c r="AI80" s="10">
        <v>12.099299999999999</v>
      </c>
      <c r="AJ80" s="10"/>
      <c r="AK80" s="10">
        <v>25.9085</v>
      </c>
      <c r="AL80" s="10">
        <v>15.870200000000001</v>
      </c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</row>
    <row r="81" spans="1:53">
      <c r="A81" s="4">
        <v>43961</v>
      </c>
      <c r="B81">
        <v>35.738399999999999</v>
      </c>
      <c r="D81">
        <v>68.7286</v>
      </c>
      <c r="F81" s="10">
        <v>10.6502</v>
      </c>
      <c r="I81" s="10">
        <v>8.5465</v>
      </c>
      <c r="J81" s="10">
        <v>44.558199999999999</v>
      </c>
      <c r="K81" s="10">
        <v>18.7121</v>
      </c>
      <c r="L81" s="10"/>
      <c r="M81" s="10"/>
      <c r="N81" s="10"/>
      <c r="P81" s="10">
        <v>34.259099999999997</v>
      </c>
      <c r="Q81" s="10">
        <v>25.206900000000001</v>
      </c>
      <c r="R81" s="10"/>
      <c r="S81" s="10">
        <v>80.660899999999998</v>
      </c>
      <c r="T81" s="10"/>
      <c r="U81" s="10"/>
      <c r="V81" s="10"/>
      <c r="W81" s="10"/>
      <c r="X81" s="10"/>
      <c r="Y81" s="10"/>
      <c r="Z81" s="10"/>
      <c r="AA81" s="10">
        <v>16.416799999999999</v>
      </c>
      <c r="AB81" s="10"/>
      <c r="AC81" s="10"/>
      <c r="AD81" s="10"/>
      <c r="AE81" s="10"/>
      <c r="AF81" s="10"/>
      <c r="AG81" s="10"/>
      <c r="AH81" s="10"/>
      <c r="AI81" s="10">
        <v>11.752700000000001</v>
      </c>
      <c r="AJ81" s="10"/>
      <c r="AK81" s="10">
        <v>25.675699999999999</v>
      </c>
      <c r="AL81" s="10">
        <v>15.462400000000001</v>
      </c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</row>
    <row r="82" spans="1:53">
      <c r="A82" s="4">
        <v>43967</v>
      </c>
      <c r="B82">
        <f>36.1264</f>
        <v>36.126399999999997</v>
      </c>
      <c r="D82">
        <v>69.642899999999997</v>
      </c>
      <c r="F82" s="10">
        <v>10.650399999999999</v>
      </c>
      <c r="I82" s="10">
        <v>8.5909999999999993</v>
      </c>
      <c r="J82" s="10">
        <v>44.752800000000001</v>
      </c>
      <c r="K82" s="10">
        <v>18.748200000000001</v>
      </c>
      <c r="L82" s="10"/>
      <c r="M82" s="10"/>
      <c r="N82" s="10"/>
      <c r="P82" s="10">
        <v>34.166800000000002</v>
      </c>
      <c r="Q82" s="10">
        <v>25.133299999999998</v>
      </c>
      <c r="R82" s="10"/>
      <c r="S82" s="10">
        <v>80.446799999999996</v>
      </c>
      <c r="T82" s="10"/>
      <c r="U82" s="10"/>
      <c r="V82" s="10"/>
      <c r="W82" s="10"/>
      <c r="X82" s="10"/>
      <c r="Y82" s="10"/>
      <c r="Z82" s="10"/>
      <c r="AA82" s="10">
        <v>16.397200000000002</v>
      </c>
      <c r="AB82" s="10"/>
      <c r="AC82" s="10"/>
      <c r="AD82" s="10"/>
      <c r="AE82" s="10"/>
      <c r="AF82" s="10"/>
      <c r="AG82" s="10"/>
      <c r="AH82" s="10"/>
      <c r="AI82" s="10">
        <v>11.9137</v>
      </c>
      <c r="AJ82" s="10"/>
      <c r="AK82" s="10">
        <v>25.700399999999998</v>
      </c>
      <c r="AL82" s="10">
        <v>15.4961</v>
      </c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</row>
    <row r="83" spans="1:53">
      <c r="A83" s="4">
        <v>43974</v>
      </c>
      <c r="B83">
        <v>36.929299999999998</v>
      </c>
      <c r="D83">
        <v>71.247900000000001</v>
      </c>
      <c r="F83" s="10">
        <v>10.654</v>
      </c>
      <c r="I83" s="10">
        <v>8.7766999999999999</v>
      </c>
      <c r="J83" s="10">
        <v>45.268500000000003</v>
      </c>
      <c r="K83" s="10">
        <v>19.056699999999999</v>
      </c>
      <c r="L83" s="10"/>
      <c r="M83" s="10"/>
      <c r="N83" s="10"/>
      <c r="P83" s="10">
        <v>34.694800000000001</v>
      </c>
      <c r="Q83" s="10">
        <v>25.452100000000002</v>
      </c>
      <c r="R83" s="10"/>
      <c r="S83" s="10">
        <v>81.663600000000002</v>
      </c>
      <c r="T83" s="10"/>
      <c r="U83" s="10"/>
      <c r="V83" s="10"/>
      <c r="W83" s="10"/>
      <c r="X83" s="10"/>
      <c r="Y83" s="10"/>
      <c r="Z83" s="10"/>
      <c r="AA83" s="10">
        <v>16.899899999999999</v>
      </c>
      <c r="AB83" s="10"/>
      <c r="AC83" s="10"/>
      <c r="AD83" s="10"/>
      <c r="AE83" s="10"/>
      <c r="AF83" s="10"/>
      <c r="AG83" s="10"/>
      <c r="AH83" s="10"/>
      <c r="AI83" s="10">
        <v>12.383699999999999</v>
      </c>
      <c r="AJ83" s="10"/>
      <c r="AK83" s="10">
        <v>25.850999999999999</v>
      </c>
      <c r="AL83" s="10">
        <v>15.7218</v>
      </c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</row>
    <row r="84" spans="1:53">
      <c r="A84" s="4">
        <v>43981</v>
      </c>
      <c r="B84">
        <v>38.224400000000003</v>
      </c>
      <c r="D84">
        <v>73.676400000000001</v>
      </c>
      <c r="F84" s="10">
        <v>10.6538</v>
      </c>
      <c r="I84" s="10">
        <v>8.5421999999999993</v>
      </c>
      <c r="J84" s="10">
        <v>46.502400000000002</v>
      </c>
      <c r="K84" s="10">
        <v>19.8141</v>
      </c>
      <c r="L84" s="10"/>
      <c r="M84" s="10"/>
      <c r="N84" s="10"/>
      <c r="P84" s="10">
        <v>35.9861</v>
      </c>
      <c r="Q84" s="10">
        <v>26.222899999999999</v>
      </c>
      <c r="R84" s="10"/>
      <c r="S84" s="10">
        <v>84.650199999999998</v>
      </c>
      <c r="T84" s="10"/>
      <c r="U84" s="10"/>
      <c r="V84" s="10"/>
      <c r="W84" s="10"/>
      <c r="X84" s="10"/>
      <c r="Y84" s="10"/>
      <c r="Z84" s="10"/>
      <c r="AA84" s="10">
        <v>16.9848</v>
      </c>
      <c r="AB84" s="10"/>
      <c r="AC84" s="10"/>
      <c r="AD84" s="10"/>
      <c r="AE84" s="10"/>
      <c r="AF84" s="10"/>
      <c r="AG84" s="10"/>
      <c r="AH84" s="10"/>
      <c r="AI84" s="10">
        <v>12.6792</v>
      </c>
      <c r="AJ84" s="10"/>
      <c r="AK84" s="10">
        <v>26.010999999999999</v>
      </c>
      <c r="AL84" s="10">
        <v>16.167000000000002</v>
      </c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</row>
    <row r="85" spans="1:53">
      <c r="A85" s="4">
        <v>43988</v>
      </c>
      <c r="B85">
        <v>40.915599999999998</v>
      </c>
      <c r="D85">
        <v>78.9148</v>
      </c>
      <c r="F85" s="10">
        <v>10.653700000000001</v>
      </c>
      <c r="I85" s="10">
        <v>9.0008999999999997</v>
      </c>
      <c r="J85" s="10">
        <v>49.379399999999997</v>
      </c>
      <c r="K85" s="10">
        <v>21.183800000000002</v>
      </c>
      <c r="L85" s="10"/>
      <c r="M85" s="10"/>
      <c r="N85" s="10"/>
      <c r="P85" s="10">
        <v>38.001300000000001</v>
      </c>
      <c r="Q85" s="10">
        <v>27.443000000000001</v>
      </c>
      <c r="R85" s="10"/>
      <c r="S85" s="10">
        <v>89.320099999999996</v>
      </c>
      <c r="T85" s="10"/>
      <c r="U85" s="10"/>
      <c r="V85" s="10"/>
      <c r="W85" s="10"/>
      <c r="X85" s="10"/>
      <c r="Y85" s="10"/>
      <c r="Z85" s="10"/>
      <c r="AA85" s="10">
        <v>17.0838</v>
      </c>
      <c r="AB85" s="10"/>
      <c r="AC85" s="10"/>
      <c r="AD85" s="10"/>
      <c r="AE85" s="10"/>
      <c r="AF85" s="10"/>
      <c r="AG85" s="10"/>
      <c r="AH85" s="10"/>
      <c r="AI85" s="10">
        <v>13.4024</v>
      </c>
      <c r="AJ85" s="10"/>
      <c r="AK85" s="10">
        <v>26.722999999999999</v>
      </c>
      <c r="AL85" s="10">
        <v>17.2926</v>
      </c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</row>
    <row r="86" spans="1:53">
      <c r="A86" s="4">
        <v>43995</v>
      </c>
      <c r="B86">
        <v>39.4876</v>
      </c>
      <c r="D86">
        <v>76.245800000000003</v>
      </c>
      <c r="F86" s="10">
        <v>10.6593</v>
      </c>
      <c r="I86" s="10">
        <v>9.0829000000000004</v>
      </c>
      <c r="J86" s="10">
        <v>47.687600000000003</v>
      </c>
      <c r="K86" s="10">
        <v>20.392199999999999</v>
      </c>
      <c r="L86" s="10"/>
      <c r="M86" s="10"/>
      <c r="N86" s="10"/>
      <c r="P86" s="10">
        <v>36.488300000000002</v>
      </c>
      <c r="Q86" s="10">
        <v>26.534500000000001</v>
      </c>
      <c r="R86" s="10"/>
      <c r="S86" s="10">
        <v>85.807900000000004</v>
      </c>
      <c r="T86" s="10"/>
      <c r="U86" s="10"/>
      <c r="V86" s="10"/>
      <c r="W86" s="10"/>
      <c r="X86" s="10"/>
      <c r="Y86" s="10"/>
      <c r="Z86" s="10"/>
      <c r="AA86" s="10">
        <v>16.9849</v>
      </c>
      <c r="AB86" s="10"/>
      <c r="AC86" s="10"/>
      <c r="AD86" s="10"/>
      <c r="AE86" s="10"/>
      <c r="AF86" s="10"/>
      <c r="AG86" s="10"/>
      <c r="AH86" s="10"/>
      <c r="AI86" s="10">
        <v>13.2735</v>
      </c>
      <c r="AJ86" s="10"/>
      <c r="AK86" s="10">
        <v>26.320399999999999</v>
      </c>
      <c r="AL86" s="10">
        <v>16.6998</v>
      </c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</row>
    <row r="87" spans="1:53">
      <c r="A87" s="4">
        <v>44002</v>
      </c>
      <c r="B87">
        <v>39.049999999999997</v>
      </c>
      <c r="D87">
        <v>75.397599999999997</v>
      </c>
      <c r="F87" s="10">
        <v>10.659599999999999</v>
      </c>
      <c r="I87" s="10">
        <v>9.1684000000000001</v>
      </c>
      <c r="J87" s="10">
        <v>47.488199999999999</v>
      </c>
      <c r="K87" s="10">
        <v>20.2669</v>
      </c>
      <c r="L87" s="10"/>
      <c r="M87" s="10"/>
      <c r="N87" s="10"/>
      <c r="P87" s="10">
        <v>36.298400000000001</v>
      </c>
      <c r="Q87" s="10">
        <v>26.3902</v>
      </c>
      <c r="R87" s="10"/>
      <c r="S87" s="10">
        <v>85.350899999999996</v>
      </c>
      <c r="T87" s="10"/>
      <c r="U87" s="10"/>
      <c r="V87" s="10"/>
      <c r="W87" s="10"/>
      <c r="X87" s="10"/>
      <c r="Y87" s="10"/>
      <c r="Z87" s="10"/>
      <c r="AA87" s="10">
        <v>17.704699999999999</v>
      </c>
      <c r="AB87" s="10"/>
      <c r="AC87" s="10"/>
      <c r="AD87" s="10"/>
      <c r="AE87" s="10"/>
      <c r="AF87" s="10"/>
      <c r="AG87" s="10"/>
      <c r="AH87" s="10"/>
      <c r="AI87" s="10">
        <v>13.2943</v>
      </c>
      <c r="AJ87" s="10"/>
      <c r="AK87" s="10">
        <v>26.260200000000001</v>
      </c>
      <c r="AL87" s="10">
        <v>16.5336</v>
      </c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</row>
    <row r="88" spans="1:53">
      <c r="A88" s="4">
        <v>44009</v>
      </c>
      <c r="B88">
        <v>37.893099999999997</v>
      </c>
      <c r="D88">
        <v>73.249700000000004</v>
      </c>
      <c r="F88" s="10">
        <v>10.6638</v>
      </c>
      <c r="I88" s="10">
        <v>9.2982999999999993</v>
      </c>
      <c r="J88" s="10">
        <v>46.2956</v>
      </c>
      <c r="K88" s="10">
        <v>19.686</v>
      </c>
      <c r="L88" s="10"/>
      <c r="M88" s="10"/>
      <c r="N88" s="10"/>
      <c r="P88" s="10">
        <v>35.466299999999997</v>
      </c>
      <c r="Q88" s="10">
        <v>25.909400000000002</v>
      </c>
      <c r="R88" s="10"/>
      <c r="S88" s="10">
        <v>83.414000000000001</v>
      </c>
      <c r="T88" s="10"/>
      <c r="U88" s="10"/>
      <c r="V88" s="10"/>
      <c r="W88" s="10"/>
      <c r="X88" s="10"/>
      <c r="Y88" s="10"/>
      <c r="Z88" s="10"/>
      <c r="AA88" s="10">
        <v>17.841200000000001</v>
      </c>
      <c r="AB88" s="10"/>
      <c r="AC88" s="10"/>
      <c r="AD88" s="10"/>
      <c r="AE88" s="10"/>
      <c r="AF88" s="10"/>
      <c r="AG88" s="10"/>
      <c r="AH88" s="10"/>
      <c r="AI88" s="10">
        <v>12.847799999999999</v>
      </c>
      <c r="AJ88" s="10"/>
      <c r="AK88" s="10">
        <v>26.005600000000001</v>
      </c>
      <c r="AL88" s="10">
        <v>16.0624</v>
      </c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</row>
    <row r="89" spans="1:53">
      <c r="A89" s="4">
        <v>44016</v>
      </c>
      <c r="B89">
        <v>39.046500000000002</v>
      </c>
      <c r="D89">
        <v>75.521500000000003</v>
      </c>
      <c r="F89" s="10">
        <v>10.6653</v>
      </c>
      <c r="I89" s="10">
        <v>9.4585000000000008</v>
      </c>
      <c r="J89" s="10">
        <v>47.347499999999997</v>
      </c>
      <c r="K89" s="10">
        <v>20.261099999999999</v>
      </c>
      <c r="L89" s="10"/>
      <c r="M89" s="10"/>
      <c r="N89" s="10"/>
      <c r="P89" s="10">
        <v>36.499400000000001</v>
      </c>
      <c r="Q89" s="10">
        <v>26.5016</v>
      </c>
      <c r="R89" s="10"/>
      <c r="S89" s="10">
        <v>85.817899999999995</v>
      </c>
      <c r="T89" s="10"/>
      <c r="U89" s="10"/>
      <c r="V89" s="10"/>
      <c r="W89" s="10"/>
      <c r="X89" s="10"/>
      <c r="Y89" s="10"/>
      <c r="Z89" s="10"/>
      <c r="AA89" s="10">
        <v>18.1511</v>
      </c>
      <c r="AB89" s="10"/>
      <c r="AC89" s="10"/>
      <c r="AD89" s="10"/>
      <c r="AE89" s="10"/>
      <c r="AF89" s="10"/>
      <c r="AG89" s="10"/>
      <c r="AH89" s="10"/>
      <c r="AI89" s="10">
        <v>13.34</v>
      </c>
      <c r="AJ89" s="10"/>
      <c r="AK89" s="10">
        <v>26.4651</v>
      </c>
      <c r="AL89" s="10">
        <v>16.694900000000001</v>
      </c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BA89" t="s">
        <v>24</v>
      </c>
    </row>
    <row r="90" spans="1:53">
      <c r="A90" s="4">
        <v>44023</v>
      </c>
      <c r="B90">
        <v>38.573900000000002</v>
      </c>
      <c r="D90">
        <v>74.749600000000001</v>
      </c>
      <c r="F90" s="10">
        <v>10.667999999999999</v>
      </c>
      <c r="I90" s="10">
        <v>10.162599999999999</v>
      </c>
      <c r="J90" s="10">
        <v>46.463299999999997</v>
      </c>
      <c r="K90" s="10">
        <v>19.850100000000001</v>
      </c>
      <c r="L90" s="10"/>
      <c r="M90" s="10"/>
      <c r="N90" s="10"/>
      <c r="P90" s="10">
        <v>36.1145</v>
      </c>
      <c r="Q90" s="10">
        <v>26.263400000000001</v>
      </c>
      <c r="R90" s="10"/>
      <c r="S90" s="10">
        <v>84.927199999999999</v>
      </c>
      <c r="T90" s="10"/>
      <c r="U90" s="10"/>
      <c r="V90" s="10"/>
      <c r="W90" s="10"/>
      <c r="X90" s="10"/>
      <c r="Y90" s="10"/>
      <c r="Z90" s="10"/>
      <c r="AA90" s="10">
        <v>18.977399999999999</v>
      </c>
      <c r="AB90" s="10"/>
      <c r="AC90" s="10"/>
      <c r="AD90" s="10"/>
      <c r="AE90" s="10"/>
      <c r="AF90" s="10"/>
      <c r="AG90" s="10"/>
      <c r="AH90" s="10"/>
      <c r="AI90" s="10">
        <v>13.214</v>
      </c>
      <c r="AJ90" s="10"/>
      <c r="AK90" s="10">
        <v>26.235499999999998</v>
      </c>
      <c r="AL90" s="10">
        <v>16.2818</v>
      </c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</row>
    <row r="91" spans="1:53">
      <c r="A91" s="4">
        <v>44030</v>
      </c>
      <c r="B91">
        <v>38.764200000000002</v>
      </c>
      <c r="D91">
        <v>75.106700000000004</v>
      </c>
      <c r="F91" s="10">
        <v>10.670299999999999</v>
      </c>
      <c r="I91" s="10">
        <v>9.7437000000000005</v>
      </c>
      <c r="J91" s="10">
        <v>46.763399999999997</v>
      </c>
      <c r="K91" s="10">
        <v>20.036100000000001</v>
      </c>
      <c r="L91" s="10"/>
      <c r="M91" s="10"/>
      <c r="N91" s="10"/>
      <c r="P91" s="10">
        <v>36.042000000000002</v>
      </c>
      <c r="Q91" s="10">
        <v>26.218800000000002</v>
      </c>
      <c r="R91" s="10"/>
      <c r="S91" s="10">
        <v>84.770399999999995</v>
      </c>
      <c r="T91" s="10"/>
      <c r="U91" s="10"/>
      <c r="V91" s="10"/>
      <c r="W91" s="10"/>
      <c r="X91" s="10"/>
      <c r="Y91" s="10"/>
      <c r="Z91" s="10"/>
      <c r="AA91" s="10">
        <v>18.793299999999999</v>
      </c>
      <c r="AB91" s="10"/>
      <c r="AC91" s="10"/>
      <c r="AD91" s="10"/>
      <c r="AE91" s="10"/>
      <c r="AF91" s="10"/>
      <c r="AG91" s="10"/>
      <c r="AH91" s="10"/>
      <c r="AI91" s="10">
        <v>13.3649</v>
      </c>
      <c r="AJ91" s="10"/>
      <c r="AK91" s="10">
        <v>26.3429</v>
      </c>
      <c r="AL91" s="10">
        <v>16.4373</v>
      </c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</row>
    <row r="92" spans="1:53">
      <c r="A92" s="4">
        <v>44037</v>
      </c>
      <c r="B92">
        <v>38.155099999999997</v>
      </c>
      <c r="D92">
        <v>73.920500000000004</v>
      </c>
      <c r="F92" s="10">
        <v>10.673500000000001</v>
      </c>
      <c r="I92" s="10">
        <v>10.1685</v>
      </c>
      <c r="J92" s="10">
        <v>46.161299999999997</v>
      </c>
      <c r="K92" s="10">
        <v>19.7164</v>
      </c>
      <c r="L92" s="10"/>
      <c r="M92" s="10"/>
      <c r="N92" s="10"/>
      <c r="P92" s="10">
        <v>35.368299999999998</v>
      </c>
      <c r="Q92" s="10">
        <v>25.816400000000002</v>
      </c>
      <c r="R92" s="10"/>
      <c r="S92" s="10">
        <v>83.197800000000001</v>
      </c>
      <c r="T92" s="10"/>
      <c r="U92" s="10"/>
      <c r="V92" s="10"/>
      <c r="W92" s="10"/>
      <c r="X92" s="10"/>
      <c r="Y92" s="10"/>
      <c r="Z92" s="10"/>
      <c r="AA92" s="10">
        <v>18.705300000000001</v>
      </c>
      <c r="AB92" s="10"/>
      <c r="AC92" s="10"/>
      <c r="AD92" s="10"/>
      <c r="AE92" s="10"/>
      <c r="AF92" s="10"/>
      <c r="AG92" s="10"/>
      <c r="AH92" s="10"/>
      <c r="AI92" s="10">
        <v>13.2179</v>
      </c>
      <c r="AJ92" s="10"/>
      <c r="AK92" s="10">
        <v>26.1816</v>
      </c>
      <c r="AL92" s="10">
        <v>16.0992</v>
      </c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</row>
    <row r="93" spans="1:53">
      <c r="A93" s="4">
        <v>44044</v>
      </c>
      <c r="B93">
        <v>37.355200000000004</v>
      </c>
      <c r="D93">
        <v>73.445899999999995</v>
      </c>
      <c r="F93" s="10">
        <v>10.676</v>
      </c>
      <c r="I93" s="10">
        <v>10.1976</v>
      </c>
      <c r="J93" s="10">
        <v>45.799799999999998</v>
      </c>
      <c r="K93" s="10">
        <v>19.556699999999999</v>
      </c>
      <c r="L93" s="10"/>
      <c r="M93" s="10"/>
      <c r="N93" s="10"/>
      <c r="P93" s="10">
        <v>35.0306</v>
      </c>
      <c r="Q93" s="10">
        <v>25.607399999999998</v>
      </c>
      <c r="R93" s="10"/>
      <c r="S93" s="10">
        <v>82.4315</v>
      </c>
      <c r="T93" s="10"/>
      <c r="U93" s="10"/>
      <c r="V93" s="10"/>
      <c r="W93" s="10"/>
      <c r="X93" s="10"/>
      <c r="Y93" s="10"/>
      <c r="Z93" s="10"/>
      <c r="AA93" s="10">
        <v>18.902699999999999</v>
      </c>
      <c r="AB93" s="10"/>
      <c r="AC93" s="10"/>
      <c r="AD93" s="10"/>
      <c r="AE93" s="10"/>
      <c r="AF93" s="10"/>
      <c r="AG93" s="10"/>
      <c r="AH93" s="10"/>
      <c r="AI93" s="10">
        <v>13.1785</v>
      </c>
      <c r="AJ93" s="10"/>
      <c r="AK93" s="10">
        <v>26.104099999999999</v>
      </c>
      <c r="AL93" s="10">
        <v>15.9331</v>
      </c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</row>
    <row r="94" spans="1:53">
      <c r="A94" s="4">
        <v>44051</v>
      </c>
      <c r="B94">
        <v>37.770600000000002</v>
      </c>
      <c r="D94">
        <v>73.19</v>
      </c>
      <c r="F94" s="10">
        <v>10.6768</v>
      </c>
      <c r="I94" s="10">
        <v>10.382899999999999</v>
      </c>
      <c r="J94" s="10">
        <v>45.6845</v>
      </c>
      <c r="K94" s="10">
        <v>19.444800000000001</v>
      </c>
      <c r="L94" s="10"/>
      <c r="M94" s="10"/>
      <c r="N94" s="10"/>
      <c r="P94" s="10">
        <v>34.746899999999997</v>
      </c>
      <c r="Q94" s="10">
        <v>25.441199999999998</v>
      </c>
      <c r="R94" s="10"/>
      <c r="S94" s="10">
        <v>81.763300000000001</v>
      </c>
      <c r="T94" s="10"/>
      <c r="U94" s="10"/>
      <c r="V94" s="10"/>
      <c r="W94" s="10"/>
      <c r="X94" s="10"/>
      <c r="Y94" s="10"/>
      <c r="Z94" s="10"/>
      <c r="AA94" s="10">
        <v>19.824400000000001</v>
      </c>
      <c r="AB94" s="10"/>
      <c r="AC94" s="10"/>
      <c r="AD94" s="10"/>
      <c r="AE94" s="10"/>
      <c r="AF94" s="10"/>
      <c r="AG94" s="10"/>
      <c r="AH94" s="10"/>
      <c r="AI94" s="10">
        <v>13.293699999999999</v>
      </c>
      <c r="AJ94" s="10"/>
      <c r="AK94" s="10">
        <v>26.130199999999999</v>
      </c>
      <c r="AL94" s="10">
        <v>15.8576</v>
      </c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</row>
    <row r="95" spans="1:53">
      <c r="A95" s="4">
        <v>44058</v>
      </c>
      <c r="B95">
        <v>37.931100000000001</v>
      </c>
      <c r="D95">
        <v>73.404700000000005</v>
      </c>
      <c r="F95" s="10">
        <v>10.6778</v>
      </c>
      <c r="I95" s="10">
        <v>10.308999999999999</v>
      </c>
      <c r="J95" s="10">
        <v>45.829500000000003</v>
      </c>
      <c r="K95" s="10">
        <v>19.4389</v>
      </c>
      <c r="L95" s="10"/>
      <c r="M95" s="10"/>
      <c r="N95" s="10"/>
      <c r="P95" s="10">
        <v>35.047400000000003</v>
      </c>
      <c r="Q95" s="10">
        <v>25.615500000000001</v>
      </c>
      <c r="R95" s="10"/>
      <c r="S95" s="10">
        <v>82.456100000000006</v>
      </c>
      <c r="T95" s="10"/>
      <c r="U95" s="10"/>
      <c r="V95" s="10"/>
      <c r="W95" s="10"/>
      <c r="X95" s="10"/>
      <c r="Y95" s="10"/>
      <c r="Z95" s="10"/>
      <c r="AA95" s="10">
        <v>19.665500000000002</v>
      </c>
      <c r="AB95" s="10"/>
      <c r="AC95" s="10"/>
      <c r="AD95" s="10"/>
      <c r="AE95" s="10"/>
      <c r="AF95" s="10"/>
      <c r="AG95" s="10"/>
      <c r="AH95" s="10"/>
      <c r="AI95" s="10">
        <v>13.020799999999999</v>
      </c>
      <c r="AJ95" s="10"/>
      <c r="AK95" s="10">
        <v>26.179099999999998</v>
      </c>
      <c r="AL95" s="10">
        <v>15.9056</v>
      </c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</row>
    <row r="96" spans="1:53">
      <c r="A96" s="4">
        <v>44065</v>
      </c>
      <c r="B96">
        <v>37.4133</v>
      </c>
      <c r="D96">
        <v>72.524100000000004</v>
      </c>
      <c r="F96" s="10">
        <v>10.679399999999999</v>
      </c>
      <c r="I96" s="10">
        <v>10.1828</v>
      </c>
      <c r="J96" s="10">
        <v>44.944699999999997</v>
      </c>
      <c r="K96" s="10">
        <v>18.979900000000001</v>
      </c>
      <c r="L96" s="10"/>
      <c r="M96" s="10"/>
      <c r="N96" s="10"/>
      <c r="P96" s="10">
        <v>34.181800000000003</v>
      </c>
      <c r="Q96" s="10">
        <v>25.120799999999999</v>
      </c>
      <c r="R96" s="10"/>
      <c r="S96" s="10">
        <v>80.440299999999993</v>
      </c>
      <c r="T96" s="10"/>
      <c r="U96" s="10"/>
      <c r="V96" s="10"/>
      <c r="W96" s="10"/>
      <c r="X96" s="10"/>
      <c r="Y96" s="10"/>
      <c r="Z96" s="10"/>
      <c r="AA96" s="10">
        <v>20.212499999999999</v>
      </c>
      <c r="AB96" s="10"/>
      <c r="AC96" s="10"/>
      <c r="AD96" s="10"/>
      <c r="AE96" s="10"/>
      <c r="AF96" s="10"/>
      <c r="AG96" s="10"/>
      <c r="AH96" s="10"/>
      <c r="AI96" s="10">
        <v>12.8729</v>
      </c>
      <c r="AJ96" s="10"/>
      <c r="AK96" s="10">
        <v>25.9589</v>
      </c>
      <c r="AL96" s="10">
        <v>15.526300000000001</v>
      </c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</row>
    <row r="97" spans="1:49">
      <c r="A97" s="4">
        <v>44072</v>
      </c>
      <c r="B97">
        <v>38.0154</v>
      </c>
      <c r="D97">
        <v>73.688299999999998</v>
      </c>
      <c r="F97" s="10">
        <v>10.680199999999999</v>
      </c>
      <c r="I97" s="10">
        <v>10.55</v>
      </c>
      <c r="J97" s="10">
        <v>45.610900000000001</v>
      </c>
      <c r="K97" s="10">
        <v>19.2575</v>
      </c>
      <c r="L97" s="10"/>
      <c r="M97" s="10"/>
      <c r="N97" s="10"/>
      <c r="P97" s="10">
        <v>34.829700000000003</v>
      </c>
      <c r="Q97" s="10">
        <v>25.453299999999999</v>
      </c>
      <c r="R97" s="10"/>
      <c r="S97" s="10">
        <v>81.918999999999997</v>
      </c>
      <c r="T97" s="10"/>
      <c r="U97" s="10"/>
      <c r="V97" s="10"/>
      <c r="W97" s="10"/>
      <c r="X97" s="10"/>
      <c r="Y97" s="10"/>
      <c r="Z97" s="10"/>
      <c r="AA97" s="10">
        <v>20.9726</v>
      </c>
      <c r="AB97" s="10"/>
      <c r="AC97" s="10"/>
      <c r="AD97" s="10"/>
      <c r="AE97" s="10"/>
      <c r="AF97" s="10"/>
      <c r="AG97" s="10"/>
      <c r="AH97" s="10"/>
      <c r="AI97" s="10">
        <v>13.264900000000001</v>
      </c>
      <c r="AJ97" s="10"/>
      <c r="AK97" s="10">
        <v>26.156500000000001</v>
      </c>
      <c r="AL97" s="10">
        <v>15.7806</v>
      </c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</row>
    <row r="98" spans="1:49">
      <c r="A98" s="4">
        <v>44079</v>
      </c>
      <c r="B98">
        <v>37.731299999999997</v>
      </c>
      <c r="D98">
        <v>73.129900000000006</v>
      </c>
      <c r="F98" s="10">
        <v>10.682700000000001</v>
      </c>
      <c r="I98" s="10">
        <v>10.7606</v>
      </c>
      <c r="J98" s="10">
        <v>45.161200000000001</v>
      </c>
      <c r="K98" s="10">
        <v>19.0151</v>
      </c>
      <c r="L98" s="10"/>
      <c r="M98" s="10"/>
      <c r="N98" s="10"/>
      <c r="P98" s="10">
        <v>34.634500000000003</v>
      </c>
      <c r="Q98" s="10">
        <v>25.359100000000002</v>
      </c>
      <c r="R98" s="10"/>
      <c r="S98" s="10">
        <v>81.474000000000004</v>
      </c>
      <c r="T98" s="10"/>
      <c r="U98" s="10"/>
      <c r="V98" s="10"/>
      <c r="W98" s="10"/>
      <c r="X98" s="10"/>
      <c r="Y98" s="10"/>
      <c r="Z98" s="10"/>
      <c r="AA98" s="10">
        <v>21.383600000000001</v>
      </c>
      <c r="AB98" s="10"/>
      <c r="AC98" s="10"/>
      <c r="AD98" s="10"/>
      <c r="AE98" s="10"/>
      <c r="AF98" s="10"/>
      <c r="AG98" s="10"/>
      <c r="AH98" s="10"/>
      <c r="AI98" s="10">
        <v>13.1538</v>
      </c>
      <c r="AJ98" s="10"/>
      <c r="AK98" s="10">
        <v>26.058599999999998</v>
      </c>
      <c r="AL98" s="10">
        <v>15.2875</v>
      </c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</row>
    <row r="99" spans="1:49">
      <c r="A99" s="4">
        <v>44086</v>
      </c>
      <c r="B99">
        <v>36.715400000000002</v>
      </c>
      <c r="D99">
        <v>71.128900000000002</v>
      </c>
      <c r="F99" s="10">
        <v>10.685499999999999</v>
      </c>
      <c r="I99" s="10">
        <v>9.7811000000000003</v>
      </c>
      <c r="J99" s="10">
        <v>44.243299999999998</v>
      </c>
      <c r="K99" s="10">
        <v>18.492899999999999</v>
      </c>
      <c r="L99" s="10"/>
      <c r="M99" s="10"/>
      <c r="N99" s="10"/>
      <c r="P99" s="10">
        <v>33.7806</v>
      </c>
      <c r="Q99" s="10">
        <v>24.866800000000001</v>
      </c>
      <c r="R99" s="10"/>
      <c r="S99" s="10">
        <v>79.464399999999998</v>
      </c>
      <c r="T99" s="10"/>
      <c r="U99" s="10"/>
      <c r="V99" s="10"/>
      <c r="W99" s="10"/>
      <c r="X99" s="10"/>
      <c r="Y99" s="10"/>
      <c r="Z99" s="10"/>
      <c r="AA99" s="10">
        <v>19.302299999999999</v>
      </c>
      <c r="AB99" s="10"/>
      <c r="AC99" s="10"/>
      <c r="AD99" s="10"/>
      <c r="AE99" s="10"/>
      <c r="AF99" s="10"/>
      <c r="AG99" s="10"/>
      <c r="AH99" s="10"/>
      <c r="AI99" s="10">
        <v>12.7158</v>
      </c>
      <c r="AJ99" s="10"/>
      <c r="AK99" s="10">
        <v>25.788499999999999</v>
      </c>
      <c r="AL99" s="10">
        <v>14.891999999999999</v>
      </c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</row>
    <row r="100" spans="1:49">
      <c r="A100" s="4">
        <v>44093</v>
      </c>
      <c r="B100">
        <v>36.862099999999998</v>
      </c>
      <c r="D100">
        <v>71.373999999999995</v>
      </c>
      <c r="F100" s="10"/>
      <c r="I100" s="10">
        <v>10.0184</v>
      </c>
      <c r="J100" s="10">
        <v>44.130200000000002</v>
      </c>
      <c r="K100" s="10">
        <v>18.4526</v>
      </c>
      <c r="L100" s="10"/>
      <c r="M100" s="10"/>
      <c r="N100" s="10"/>
      <c r="P100" s="10">
        <v>33.788499999999999</v>
      </c>
      <c r="Q100" s="10">
        <v>24.8581</v>
      </c>
      <c r="R100" s="10"/>
      <c r="S100" s="10">
        <v>79.485600000000005</v>
      </c>
      <c r="T100" s="10"/>
      <c r="U100" s="10"/>
      <c r="V100" s="10"/>
      <c r="W100" s="10"/>
      <c r="X100" s="10"/>
      <c r="Y100" s="10"/>
      <c r="Z100" s="10"/>
      <c r="AA100" s="10">
        <v>19.1617</v>
      </c>
      <c r="AB100" s="10"/>
      <c r="AC100" s="10"/>
      <c r="AD100" s="10"/>
      <c r="AE100" s="10"/>
      <c r="AF100" s="10"/>
      <c r="AG100" s="10"/>
      <c r="AH100" s="10"/>
      <c r="AI100" s="10">
        <v>12.802</v>
      </c>
      <c r="AJ100" s="10"/>
      <c r="AK100" s="10">
        <v>25.917999999999999</v>
      </c>
      <c r="AL100" s="10">
        <v>14.9023</v>
      </c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</row>
    <row r="101" spans="1:49">
      <c r="A101" s="4">
        <v>44100</v>
      </c>
      <c r="B101">
        <v>35.6477</v>
      </c>
      <c r="D101">
        <v>69.126499999999993</v>
      </c>
      <c r="F101" s="10">
        <v>10.6896</v>
      </c>
      <c r="I101" s="10">
        <v>9.7437000000000005</v>
      </c>
      <c r="J101" s="10">
        <v>42.513500000000001</v>
      </c>
      <c r="K101" s="10">
        <v>17.5365</v>
      </c>
      <c r="L101" s="10"/>
      <c r="M101" s="10"/>
      <c r="N101" s="10"/>
      <c r="P101" s="10">
        <v>32.570500000000003</v>
      </c>
      <c r="Q101" s="10">
        <v>24.128499999999999</v>
      </c>
      <c r="R101" s="10"/>
      <c r="S101" s="10">
        <v>76.634500000000003</v>
      </c>
      <c r="T101" s="10"/>
      <c r="U101" s="10"/>
      <c r="V101" s="10"/>
      <c r="W101" s="10"/>
      <c r="X101" s="10"/>
      <c r="Y101" s="10"/>
      <c r="Z101" s="10"/>
      <c r="AA101" s="10">
        <v>18.869499999999999</v>
      </c>
      <c r="AB101" s="10"/>
      <c r="AC101" s="10"/>
      <c r="AD101" s="10"/>
      <c r="AE101" s="10"/>
      <c r="AF101" s="10"/>
      <c r="AG101" s="10"/>
      <c r="AH101" s="10"/>
      <c r="AI101" s="10">
        <v>12.5823</v>
      </c>
      <c r="AJ101" s="10"/>
      <c r="AK101" s="10">
        <v>25.534500000000001</v>
      </c>
      <c r="AL101" s="10">
        <v>14.2666</v>
      </c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</row>
    <row r="102" spans="1:49">
      <c r="A102" s="4">
        <v>44078</v>
      </c>
      <c r="B102">
        <v>35.282699999999998</v>
      </c>
      <c r="D102">
        <v>68.409700000000001</v>
      </c>
      <c r="F102" s="10">
        <v>10.6913</v>
      </c>
      <c r="I102" s="10">
        <v>9.9380000000000006</v>
      </c>
      <c r="J102" s="10">
        <v>42.116799999999998</v>
      </c>
      <c r="K102" s="10">
        <v>17.482800000000001</v>
      </c>
      <c r="L102" s="10"/>
      <c r="M102" s="10"/>
      <c r="N102" s="10"/>
      <c r="P102" s="10">
        <v>32.267699999999998</v>
      </c>
      <c r="Q102" s="10">
        <v>23.956600000000002</v>
      </c>
      <c r="R102" s="10"/>
      <c r="S102" s="10">
        <v>75.924700000000001</v>
      </c>
      <c r="T102" s="10"/>
      <c r="U102" s="10"/>
      <c r="V102" s="10"/>
      <c r="W102" s="10"/>
      <c r="X102" s="10"/>
      <c r="Y102" s="10"/>
      <c r="Z102" s="10"/>
      <c r="AA102" s="10">
        <v>20.054500000000001</v>
      </c>
      <c r="AB102" s="10"/>
      <c r="AC102" s="10"/>
      <c r="AD102" s="10"/>
      <c r="AE102" s="10"/>
      <c r="AF102" s="10"/>
      <c r="AG102" s="10"/>
      <c r="AH102" s="10"/>
      <c r="AI102" s="10">
        <v>12.645300000000001</v>
      </c>
      <c r="AJ102" s="10"/>
      <c r="AK102" s="10">
        <v>25.506499999999999</v>
      </c>
      <c r="AL102" s="10">
        <v>14.2455</v>
      </c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</row>
    <row r="103" spans="1:49">
      <c r="A103" s="4">
        <v>44114</v>
      </c>
      <c r="B103">
        <v>36.013599999999997</v>
      </c>
      <c r="D103">
        <v>69.747900000000001</v>
      </c>
      <c r="F103" s="10">
        <v>10.693099999999999</v>
      </c>
      <c r="I103" s="10">
        <v>10.2493</v>
      </c>
      <c r="J103" s="10">
        <v>43.052900000000001</v>
      </c>
      <c r="K103" s="10">
        <v>17.957699999999999</v>
      </c>
      <c r="L103" s="10"/>
      <c r="M103" s="10"/>
      <c r="N103" s="10"/>
      <c r="P103" s="10">
        <v>32.8339</v>
      </c>
      <c r="Q103" s="10">
        <v>24.279199999999999</v>
      </c>
      <c r="R103" s="10"/>
      <c r="S103" s="10">
        <v>77.228499999999997</v>
      </c>
      <c r="T103" s="10"/>
      <c r="U103" s="10"/>
      <c r="V103" s="10"/>
      <c r="W103" s="10"/>
      <c r="X103" s="10"/>
      <c r="Y103" s="10"/>
      <c r="Z103" s="10"/>
      <c r="AA103" s="10">
        <v>19.9709</v>
      </c>
      <c r="AB103" s="10"/>
      <c r="AC103" s="10"/>
      <c r="AD103" s="10"/>
      <c r="AE103" s="10"/>
      <c r="AF103" s="10"/>
      <c r="AG103" s="10"/>
      <c r="AH103" s="10"/>
      <c r="AI103" s="10">
        <v>12.897</v>
      </c>
      <c r="AJ103" s="10"/>
      <c r="AK103" s="10">
        <v>25.7775</v>
      </c>
      <c r="AL103" s="10">
        <v>14.590299999999999</v>
      </c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</row>
    <row r="104" spans="1:49">
      <c r="A104" s="4">
        <v>44121</v>
      </c>
      <c r="B104">
        <v>34.977600000000002</v>
      </c>
      <c r="D104">
        <v>67.753399999999999</v>
      </c>
      <c r="F104" s="10">
        <v>10.694599999999999</v>
      </c>
      <c r="I104" s="10">
        <v>10.257199999999999</v>
      </c>
      <c r="J104" s="10">
        <v>42.189700000000002</v>
      </c>
      <c r="K104" s="10">
        <v>17.450600000000001</v>
      </c>
      <c r="L104" s="10"/>
      <c r="M104" s="10"/>
      <c r="N104" s="10"/>
      <c r="P104" s="10">
        <v>31.8123</v>
      </c>
      <c r="Q104" s="10">
        <v>23.6632</v>
      </c>
      <c r="R104" s="10"/>
      <c r="S104" s="10">
        <v>74.851900000000001</v>
      </c>
      <c r="T104" s="10"/>
      <c r="U104" s="10"/>
      <c r="V104" s="10"/>
      <c r="W104" s="10"/>
      <c r="X104" s="10"/>
      <c r="Y104" s="10"/>
      <c r="Z104" s="10"/>
      <c r="AA104" s="10">
        <v>20.5688</v>
      </c>
      <c r="AB104" s="10"/>
      <c r="AC104" s="10"/>
      <c r="AD104" s="10"/>
      <c r="AE104" s="10"/>
      <c r="AF104" s="10"/>
      <c r="AG104" s="10"/>
      <c r="AH104" s="10"/>
      <c r="AI104" s="10">
        <v>12.557499999999999</v>
      </c>
      <c r="AJ104" s="10"/>
      <c r="AK104" s="10">
        <v>25.575900000000001</v>
      </c>
      <c r="AL104" s="10">
        <v>14.1304</v>
      </c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</row>
    <row r="105" spans="1:49">
      <c r="A105" s="4">
        <v>44128</v>
      </c>
      <c r="B105">
        <v>34.612499999999997</v>
      </c>
      <c r="D105">
        <v>67.045900000000003</v>
      </c>
      <c r="F105" s="10">
        <v>10.696400000000001</v>
      </c>
      <c r="I105" s="10">
        <v>10.4041</v>
      </c>
      <c r="J105" s="10">
        <v>41.668799999999997</v>
      </c>
      <c r="K105" s="10">
        <v>17.213999999999999</v>
      </c>
      <c r="L105" s="10"/>
      <c r="M105" s="10"/>
      <c r="N105" s="10"/>
      <c r="P105" s="10">
        <v>31.337299999999999</v>
      </c>
      <c r="Q105" s="10">
        <v>23.366099999999999</v>
      </c>
      <c r="R105" s="10"/>
      <c r="S105" s="10">
        <v>73.748999999999995</v>
      </c>
      <c r="T105" s="10"/>
      <c r="U105" s="10"/>
      <c r="V105" s="10"/>
      <c r="W105" s="10"/>
      <c r="X105" s="10"/>
      <c r="Y105" s="10"/>
      <c r="Z105" s="10"/>
      <c r="AA105" s="10">
        <v>20.157299999999999</v>
      </c>
      <c r="AB105" s="10"/>
      <c r="AC105" s="10"/>
      <c r="AD105" s="10"/>
      <c r="AE105" s="10"/>
      <c r="AF105" s="10"/>
      <c r="AG105" s="10"/>
      <c r="AH105" s="10"/>
      <c r="AI105" s="10">
        <v>12.4712</v>
      </c>
      <c r="AJ105" s="10"/>
      <c r="AK105" s="10">
        <v>25.5152</v>
      </c>
      <c r="AL105" s="10">
        <v>13.9108</v>
      </c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</row>
    <row r="106" spans="1:49">
      <c r="A106" s="4">
        <v>44135</v>
      </c>
      <c r="B106">
        <v>33.998399999999997</v>
      </c>
      <c r="D106">
        <v>65.979699999999994</v>
      </c>
      <c r="F106" s="10">
        <v>10.699</v>
      </c>
      <c r="I106" s="10">
        <v>10.324199999999999</v>
      </c>
      <c r="J106" s="10">
        <v>41.118000000000002</v>
      </c>
      <c r="K106" s="10">
        <v>16.942599999999999</v>
      </c>
      <c r="L106" s="10"/>
      <c r="M106" s="10"/>
      <c r="N106" s="10"/>
      <c r="P106" s="10">
        <v>30.6721</v>
      </c>
      <c r="Q106" s="10">
        <v>22.950900000000001</v>
      </c>
      <c r="R106" s="10"/>
      <c r="S106" s="10">
        <v>72.207099999999997</v>
      </c>
      <c r="T106" s="10"/>
      <c r="U106" s="10"/>
      <c r="V106" s="10"/>
      <c r="W106" s="10"/>
      <c r="X106" s="10"/>
      <c r="Y106" s="10"/>
      <c r="Z106" s="10"/>
      <c r="AA106" s="10">
        <v>19.6113</v>
      </c>
      <c r="AB106" s="10"/>
      <c r="AC106" s="10"/>
      <c r="AD106" s="10"/>
      <c r="AE106" s="10"/>
      <c r="AF106" s="10"/>
      <c r="AG106" s="10"/>
      <c r="AH106" s="10"/>
      <c r="AI106" s="10">
        <v>12.419700000000001</v>
      </c>
      <c r="AJ106" s="10"/>
      <c r="AK106" s="10">
        <v>25.296700000000001</v>
      </c>
      <c r="AL106" s="10">
        <v>13.755599999999999</v>
      </c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</row>
    <row r="107" spans="1:49">
      <c r="A107" s="4">
        <v>44142</v>
      </c>
      <c r="B107">
        <v>35.391100000000002</v>
      </c>
      <c r="D107">
        <v>68.545199999999994</v>
      </c>
      <c r="F107" s="10">
        <v>10.703200000000001</v>
      </c>
      <c r="I107" s="10">
        <v>10.808299999999999</v>
      </c>
      <c r="J107" s="10">
        <v>42.939399999999999</v>
      </c>
      <c r="K107" s="10">
        <v>17.400700000000001</v>
      </c>
      <c r="L107" s="10"/>
      <c r="M107" s="10"/>
      <c r="N107" s="10"/>
      <c r="P107" s="10">
        <v>32.332299999999996</v>
      </c>
      <c r="Q107" s="10">
        <v>23.9693</v>
      </c>
      <c r="R107" s="10"/>
      <c r="S107" s="10">
        <v>76.078699999999998</v>
      </c>
      <c r="T107" s="10"/>
      <c r="U107" s="10"/>
      <c r="V107" s="10"/>
      <c r="W107" s="10"/>
      <c r="X107" s="10"/>
      <c r="Y107" s="10"/>
      <c r="Z107" s="10"/>
      <c r="AA107" s="10">
        <v>20.833200000000001</v>
      </c>
      <c r="AB107" s="10"/>
      <c r="AC107" s="10"/>
      <c r="AD107" s="10"/>
      <c r="AE107" s="10"/>
      <c r="AF107" s="10"/>
      <c r="AG107" s="10"/>
      <c r="AH107" s="10"/>
      <c r="AI107" s="10">
        <v>12.774100000000001</v>
      </c>
      <c r="AJ107" s="10"/>
      <c r="AK107" s="10">
        <v>25.808399999999999</v>
      </c>
      <c r="AL107" s="10">
        <v>14.518700000000001</v>
      </c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</row>
    <row r="108" spans="1:49">
      <c r="A108" s="4">
        <v>44149</v>
      </c>
      <c r="B108">
        <v>38.102600000000002</v>
      </c>
      <c r="D108">
        <v>73.638999999999996</v>
      </c>
      <c r="F108" s="10">
        <v>10.7059</v>
      </c>
      <c r="I108" s="10">
        <v>10.85</v>
      </c>
      <c r="J108" s="10">
        <v>45.356200000000001</v>
      </c>
      <c r="K108" s="10">
        <v>18.6189</v>
      </c>
      <c r="L108" s="10"/>
      <c r="M108" s="10"/>
      <c r="N108" s="10"/>
      <c r="P108" s="10">
        <v>34.8322</v>
      </c>
      <c r="Q108" s="10">
        <v>25.487300000000001</v>
      </c>
      <c r="R108" s="10"/>
      <c r="S108" s="10">
        <v>81.871300000000005</v>
      </c>
      <c r="T108" s="10"/>
      <c r="U108" s="10"/>
      <c r="V108" s="10"/>
      <c r="W108" s="10"/>
      <c r="X108" s="10"/>
      <c r="Y108" s="10"/>
      <c r="Z108" s="10"/>
      <c r="AA108" s="10">
        <v>20.3795</v>
      </c>
      <c r="AB108" s="10"/>
      <c r="AC108" s="10"/>
      <c r="AD108" s="10"/>
      <c r="AE108" s="10"/>
      <c r="AF108" s="10"/>
      <c r="AG108" s="10"/>
      <c r="AH108" s="10"/>
      <c r="AI108" s="10">
        <v>13.0015</v>
      </c>
      <c r="AJ108" s="10"/>
      <c r="AK108" s="10">
        <v>26.516300000000001</v>
      </c>
      <c r="AL108" s="10">
        <v>15.637700000000001</v>
      </c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</row>
    <row r="109" spans="1:49">
      <c r="A109" s="4">
        <v>44156</v>
      </c>
      <c r="B109">
        <v>39.308799999999998</v>
      </c>
      <c r="D109">
        <v>75.962500000000006</v>
      </c>
      <c r="F109" s="10">
        <v>10.7089</v>
      </c>
      <c r="I109" s="10">
        <v>11.1218</v>
      </c>
      <c r="J109" s="10">
        <v>46.389600000000002</v>
      </c>
      <c r="K109" s="10">
        <v>19.150200000000002</v>
      </c>
      <c r="L109" s="10"/>
      <c r="M109" s="10"/>
      <c r="N109" s="10"/>
      <c r="P109" s="10">
        <v>35.892499999999998</v>
      </c>
      <c r="Q109" s="10">
        <v>26.102399999999999</v>
      </c>
      <c r="R109" s="10"/>
      <c r="S109" s="10">
        <v>84.3125</v>
      </c>
      <c r="T109" s="10"/>
      <c r="U109" s="10"/>
      <c r="V109" s="10"/>
      <c r="W109" s="10"/>
      <c r="X109" s="10"/>
      <c r="Y109" s="10"/>
      <c r="Z109" s="10"/>
      <c r="AA109" s="10">
        <v>20.490500000000001</v>
      </c>
      <c r="AB109" s="10"/>
      <c r="AC109" s="10"/>
      <c r="AD109" s="10"/>
      <c r="AE109" s="10"/>
      <c r="AF109" s="10"/>
      <c r="AG109" s="10"/>
      <c r="AH109" s="10"/>
      <c r="AI109" s="10">
        <v>13.2592</v>
      </c>
      <c r="AJ109" s="10"/>
      <c r="AK109" s="10">
        <v>26.769300000000001</v>
      </c>
      <c r="AL109" s="10">
        <v>15.9046</v>
      </c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</row>
    <row r="110" spans="1:49">
      <c r="A110" s="4">
        <v>44163</v>
      </c>
      <c r="B110">
        <v>40.302300000000002</v>
      </c>
      <c r="D110">
        <v>77.929599999999994</v>
      </c>
      <c r="F110" s="10">
        <v>10.712300000000001</v>
      </c>
      <c r="I110" s="10">
        <v>10.7761</v>
      </c>
      <c r="J110" s="10">
        <v>47.485500000000002</v>
      </c>
      <c r="K110" s="10">
        <v>19.6739</v>
      </c>
      <c r="L110" s="10"/>
      <c r="M110" s="10"/>
      <c r="N110" s="10"/>
      <c r="P110" s="10">
        <v>37.220199999999998</v>
      </c>
      <c r="Q110" s="10">
        <v>26.8871</v>
      </c>
      <c r="R110" s="10"/>
      <c r="S110" s="10">
        <v>87.381600000000006</v>
      </c>
      <c r="T110" s="10"/>
      <c r="U110" s="10"/>
      <c r="V110" s="10"/>
      <c r="W110" s="10"/>
      <c r="X110" s="10"/>
      <c r="Y110" s="10"/>
      <c r="Z110" s="10"/>
      <c r="AA110" s="10">
        <v>20.913799999999998</v>
      </c>
      <c r="AB110" s="10"/>
      <c r="AC110" s="10"/>
      <c r="AD110" s="10"/>
      <c r="AE110" s="10"/>
      <c r="AF110" s="10"/>
      <c r="AG110" s="10"/>
      <c r="AH110" s="10"/>
      <c r="AI110" s="10">
        <v>13.7759</v>
      </c>
      <c r="AJ110" s="10"/>
      <c r="AK110" s="10">
        <v>27.224399999999999</v>
      </c>
      <c r="AL110" s="10">
        <v>16.616599999999998</v>
      </c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</row>
    <row r="111" spans="1:49">
      <c r="A111" s="4">
        <v>44170</v>
      </c>
      <c r="B111">
        <v>40.5944</v>
      </c>
      <c r="D111">
        <v>78.482399999999998</v>
      </c>
      <c r="F111" s="10">
        <v>10.7201</v>
      </c>
      <c r="I111" s="10">
        <v>10.7804</v>
      </c>
      <c r="J111" s="10">
        <v>47.688000000000002</v>
      </c>
      <c r="K111" s="10">
        <v>19.816600000000001</v>
      </c>
      <c r="L111" s="10"/>
      <c r="M111" s="10"/>
      <c r="N111" s="10"/>
      <c r="P111" s="10">
        <v>37.3095</v>
      </c>
      <c r="Q111" s="10">
        <v>26.949000000000002</v>
      </c>
      <c r="R111" s="10"/>
      <c r="S111" s="10">
        <v>87.6</v>
      </c>
      <c r="T111" s="10"/>
      <c r="U111" s="10"/>
      <c r="V111" s="10"/>
      <c r="W111" s="10"/>
      <c r="X111" s="10"/>
      <c r="Y111" s="10"/>
      <c r="Z111" s="10"/>
      <c r="AA111" s="10">
        <v>21.097799999999999</v>
      </c>
      <c r="AB111" s="10"/>
      <c r="AC111" s="10"/>
      <c r="AD111" s="10"/>
      <c r="AE111" s="10"/>
      <c r="AF111" s="10"/>
      <c r="AG111" s="10"/>
      <c r="AH111" s="10"/>
      <c r="AI111" s="10">
        <v>13.8832</v>
      </c>
      <c r="AJ111" s="10"/>
      <c r="AK111" s="10">
        <v>27.383299999999998</v>
      </c>
      <c r="AL111" s="10">
        <v>16.729900000000001</v>
      </c>
      <c r="AM111" s="10"/>
      <c r="AN111" s="10"/>
      <c r="AO111" s="10">
        <v>10.091900000000001</v>
      </c>
      <c r="AP111" s="10">
        <v>10.111599999999999</v>
      </c>
      <c r="AQ111" s="10"/>
      <c r="AR111" s="10"/>
      <c r="AS111" s="10"/>
      <c r="AT111" s="10"/>
      <c r="AU111" s="10"/>
      <c r="AV111" s="10"/>
      <c r="AW111" s="10"/>
    </row>
    <row r="112" spans="1:49">
      <c r="A112" s="4">
        <v>44177</v>
      </c>
      <c r="B112">
        <v>41.357399999999998</v>
      </c>
      <c r="D112">
        <v>79.880200000000002</v>
      </c>
      <c r="F112" s="10">
        <v>10.7225</v>
      </c>
      <c r="I112" s="10">
        <v>10.7804</v>
      </c>
      <c r="J112" s="10">
        <v>48.339100000000002</v>
      </c>
      <c r="K112" s="10">
        <v>20.1602</v>
      </c>
      <c r="L112" s="10"/>
      <c r="M112" s="10"/>
      <c r="N112" s="10"/>
      <c r="P112" s="10">
        <v>38.060200000000002</v>
      </c>
      <c r="Q112" s="10">
        <v>27.390499999999999</v>
      </c>
      <c r="R112" s="10"/>
      <c r="S112" s="10">
        <v>89.3249</v>
      </c>
      <c r="T112" s="10"/>
      <c r="U112" s="10"/>
      <c r="V112" s="10"/>
      <c r="W112" s="10"/>
      <c r="X112" s="10"/>
      <c r="Y112" s="10"/>
      <c r="Z112" s="10"/>
      <c r="AA112" s="10">
        <v>21.3567</v>
      </c>
      <c r="AB112" s="10"/>
      <c r="AC112" s="10"/>
      <c r="AD112" s="10"/>
      <c r="AE112" s="10"/>
      <c r="AF112" s="10"/>
      <c r="AG112" s="10"/>
      <c r="AH112" s="10"/>
      <c r="AI112" s="10">
        <v>14.005100000000001</v>
      </c>
      <c r="AJ112" s="10"/>
      <c r="AK112" s="10">
        <v>27.613299999999999</v>
      </c>
      <c r="AL112" s="10">
        <v>17.032900000000001</v>
      </c>
      <c r="AM112" s="10"/>
      <c r="AN112" s="10"/>
      <c r="AO112" s="10">
        <v>10.2155</v>
      </c>
      <c r="AP112" s="10">
        <v>10.1676</v>
      </c>
      <c r="AQ112" s="10"/>
      <c r="AR112" s="10"/>
      <c r="AS112" s="10"/>
      <c r="AT112" s="10"/>
      <c r="AU112" s="10"/>
      <c r="AV112" s="10"/>
      <c r="AW112" s="10"/>
    </row>
    <row r="113" spans="1:49">
      <c r="A113" s="4">
        <v>44184</v>
      </c>
      <c r="B113">
        <v>40.917999999999999</v>
      </c>
      <c r="D113">
        <v>79.087199999999996</v>
      </c>
      <c r="F113" s="10">
        <v>10.726100000000001</v>
      </c>
      <c r="I113" s="10">
        <v>10.962300000000001</v>
      </c>
      <c r="J113" s="10">
        <v>47.865299999999998</v>
      </c>
      <c r="K113" s="10">
        <v>19.904499999999999</v>
      </c>
      <c r="L113" s="10"/>
      <c r="M113" s="10"/>
      <c r="N113" s="10"/>
      <c r="P113" s="10">
        <v>37.735399999999998</v>
      </c>
      <c r="Q113" s="10">
        <v>27.161899999999999</v>
      </c>
      <c r="R113" s="10"/>
      <c r="S113" s="10">
        <v>88.546400000000006</v>
      </c>
      <c r="T113" s="10"/>
      <c r="U113" s="10"/>
      <c r="V113" s="10"/>
      <c r="W113" s="10"/>
      <c r="X113" s="10"/>
      <c r="Y113" s="10"/>
      <c r="Z113" s="10"/>
      <c r="AA113" s="10">
        <v>21.508199999999999</v>
      </c>
      <c r="AB113" s="10"/>
      <c r="AC113" s="10"/>
      <c r="AD113" s="10"/>
      <c r="AE113" s="10"/>
      <c r="AF113" s="10"/>
      <c r="AG113" s="10"/>
      <c r="AH113" s="10"/>
      <c r="AI113" s="10">
        <v>14.325100000000001</v>
      </c>
      <c r="AJ113" s="10"/>
      <c r="AK113" s="10">
        <v>27.552299999999999</v>
      </c>
      <c r="AL113" s="10">
        <v>16.888300000000001</v>
      </c>
      <c r="AM113" s="10"/>
      <c r="AN113" s="10"/>
      <c r="AO113" s="10">
        <v>10.4819</v>
      </c>
      <c r="AP113" s="10">
        <v>10.594200000000001</v>
      </c>
      <c r="AQ113" s="10"/>
      <c r="AR113" s="10"/>
      <c r="AS113" s="10"/>
      <c r="AT113" s="10"/>
      <c r="AU113" s="10"/>
      <c r="AV113" s="10"/>
      <c r="AW113" s="10"/>
    </row>
    <row r="114" spans="1:49">
      <c r="A114" s="4">
        <v>44191</v>
      </c>
      <c r="B114">
        <v>40.088700000000003</v>
      </c>
      <c r="D114">
        <v>77.438900000000004</v>
      </c>
      <c r="F114" s="10">
        <v>10.7263</v>
      </c>
      <c r="I114" s="10">
        <v>10.9054</v>
      </c>
      <c r="J114" s="10">
        <v>46.430399999999999</v>
      </c>
      <c r="K114" s="10">
        <v>19.240100000000002</v>
      </c>
      <c r="L114" s="10"/>
      <c r="M114" s="10"/>
      <c r="N114" s="10"/>
      <c r="P114" s="10">
        <v>36.464199999999998</v>
      </c>
      <c r="Q114" s="10">
        <v>26.402799999999999</v>
      </c>
      <c r="R114" s="10"/>
      <c r="S114" s="10">
        <v>85.671400000000006</v>
      </c>
      <c r="T114" s="10"/>
      <c r="U114" s="10"/>
      <c r="V114" s="10"/>
      <c r="W114" s="10"/>
      <c r="X114" s="10"/>
      <c r="Y114" s="10"/>
      <c r="Z114" s="10"/>
      <c r="AA114" s="10">
        <v>21.3767</v>
      </c>
      <c r="AB114" s="10"/>
      <c r="AC114" s="10"/>
      <c r="AD114" s="10"/>
      <c r="AE114" s="10"/>
      <c r="AF114" s="10"/>
      <c r="AG114" s="10"/>
      <c r="AH114" s="10"/>
      <c r="AI114" s="10">
        <v>14.2029</v>
      </c>
      <c r="AJ114" s="10"/>
      <c r="AK114" s="10">
        <v>27.335000000000001</v>
      </c>
      <c r="AL114" s="10">
        <v>16.360299999999999</v>
      </c>
      <c r="AM114" s="10"/>
      <c r="AN114" s="10"/>
      <c r="AO114" s="10">
        <v>10.5587</v>
      </c>
      <c r="AP114" s="10">
        <v>10.766</v>
      </c>
      <c r="AQ114" s="10"/>
      <c r="AR114" s="10"/>
      <c r="AS114" s="10"/>
      <c r="AT114" s="10"/>
      <c r="AU114" s="10"/>
      <c r="AV114" s="10"/>
      <c r="AW114" s="10"/>
    </row>
    <row r="115" spans="1:49">
      <c r="A115" s="4">
        <v>44196</v>
      </c>
      <c r="B115">
        <v>39.318300000000001</v>
      </c>
      <c r="D115">
        <v>76.052999999999997</v>
      </c>
      <c r="F115" s="10">
        <v>10.7301</v>
      </c>
      <c r="I115" s="10">
        <v>10.9033</v>
      </c>
      <c r="J115" s="10">
        <v>46.175600000000003</v>
      </c>
      <c r="K115" s="10">
        <v>19.1129</v>
      </c>
      <c r="L115" s="10"/>
      <c r="M115" s="10"/>
      <c r="N115" s="10"/>
      <c r="P115" s="10">
        <v>36.0623</v>
      </c>
      <c r="Q115" s="10">
        <v>26.198699999999999</v>
      </c>
      <c r="R115" s="10"/>
      <c r="S115" s="10">
        <v>84.745199999999997</v>
      </c>
      <c r="T115" s="10"/>
      <c r="U115" s="10"/>
      <c r="V115" s="10"/>
      <c r="W115" s="10"/>
      <c r="X115" s="10"/>
      <c r="Y115" s="10"/>
      <c r="Z115" s="10"/>
      <c r="AA115" s="10">
        <v>21.676100000000002</v>
      </c>
      <c r="AB115" s="10"/>
      <c r="AC115" s="10"/>
      <c r="AD115" s="10"/>
      <c r="AE115" s="10"/>
      <c r="AF115" s="10"/>
      <c r="AG115" s="10"/>
      <c r="AH115" s="10"/>
      <c r="AI115" s="10">
        <v>14.0345</v>
      </c>
      <c r="AJ115" s="10"/>
      <c r="AK115" s="10">
        <v>27.205500000000001</v>
      </c>
      <c r="AL115" s="10">
        <v>16.184699999999999</v>
      </c>
      <c r="AM115" s="10"/>
      <c r="AN115" s="10"/>
      <c r="AO115" s="10">
        <v>10.4527</v>
      </c>
      <c r="AP115" s="10">
        <v>10.5268</v>
      </c>
      <c r="AQ115" s="10"/>
      <c r="AR115" s="10"/>
      <c r="AS115" s="10"/>
      <c r="AT115" s="10"/>
      <c r="AU115" s="10"/>
      <c r="AV115" s="10"/>
      <c r="AW115" s="10"/>
    </row>
    <row r="116" spans="1:49">
      <c r="A116" s="4">
        <v>43840</v>
      </c>
      <c r="B116">
        <v>40.5929</v>
      </c>
      <c r="D116">
        <v>78.492199999999997</v>
      </c>
      <c r="F116" s="10">
        <v>10.730600000000001</v>
      </c>
      <c r="I116" s="10"/>
      <c r="J116" s="10">
        <v>47.66</v>
      </c>
      <c r="K116" s="10">
        <v>19.8781</v>
      </c>
      <c r="L116" s="10"/>
      <c r="M116" s="10"/>
      <c r="N116" s="10"/>
      <c r="P116" s="10">
        <v>37.787199999999999</v>
      </c>
      <c r="Q116" s="10">
        <v>27.142399999999999</v>
      </c>
      <c r="R116" s="10"/>
      <c r="S116" s="10">
        <v>88.732200000000006</v>
      </c>
      <c r="T116" s="10"/>
      <c r="U116" s="10"/>
      <c r="V116" s="10"/>
      <c r="W116" s="10"/>
      <c r="X116" s="10"/>
      <c r="Y116" s="10"/>
      <c r="Z116" s="10"/>
      <c r="AA116" s="10">
        <v>21.787500000000001</v>
      </c>
      <c r="AB116" s="10"/>
      <c r="AC116" s="10"/>
      <c r="AD116" s="10"/>
      <c r="AE116" s="10"/>
      <c r="AF116" s="10"/>
      <c r="AG116" s="10"/>
      <c r="AH116" s="10"/>
      <c r="AI116" s="10">
        <v>14.467599999999999</v>
      </c>
      <c r="AJ116" s="10"/>
      <c r="AK116" s="10">
        <v>27.697199999999999</v>
      </c>
      <c r="AL116" s="10">
        <v>16.805700000000002</v>
      </c>
      <c r="AM116" s="10"/>
      <c r="AN116" s="10"/>
      <c r="AO116" s="10">
        <v>11.2996</v>
      </c>
      <c r="AP116" s="10">
        <v>10.466100000000001</v>
      </c>
      <c r="AQ116" s="10"/>
      <c r="AR116" s="10"/>
      <c r="AS116" s="10"/>
      <c r="AT116" s="10"/>
      <c r="AU116" s="10"/>
      <c r="AV116" s="10"/>
      <c r="AW116" s="10"/>
    </row>
    <row r="117" spans="1:49">
      <c r="A117" s="4">
        <v>44213</v>
      </c>
      <c r="B117">
        <v>40.480800000000002</v>
      </c>
      <c r="D117">
        <v>78.214399999999998</v>
      </c>
      <c r="F117" s="10">
        <v>10.7318</v>
      </c>
      <c r="I117" s="10">
        <v>11.9329</v>
      </c>
      <c r="J117" s="10">
        <v>47.56</v>
      </c>
      <c r="K117" s="10">
        <v>19.7271</v>
      </c>
      <c r="L117" s="10"/>
      <c r="M117" s="10"/>
      <c r="N117" s="10"/>
      <c r="P117" s="10">
        <v>37.764299999999999</v>
      </c>
      <c r="Q117" s="10">
        <v>27.086400000000001</v>
      </c>
      <c r="R117" s="10"/>
      <c r="S117" s="10">
        <v>88.656999999999996</v>
      </c>
      <c r="T117" s="10"/>
      <c r="U117" s="10"/>
      <c r="V117" s="10"/>
      <c r="W117" s="10"/>
      <c r="X117" s="10"/>
      <c r="Y117" s="10"/>
      <c r="Z117" s="10"/>
      <c r="AA117" s="10">
        <v>21.751799999999999</v>
      </c>
      <c r="AB117" s="10"/>
      <c r="AC117" s="10"/>
      <c r="AD117" s="10"/>
      <c r="AE117" s="10"/>
      <c r="AF117" s="10"/>
      <c r="AG117" s="10"/>
      <c r="AH117" s="10"/>
      <c r="AI117" s="10">
        <v>14.458399999999999</v>
      </c>
      <c r="AJ117" s="10"/>
      <c r="AK117" s="10">
        <v>27.5959</v>
      </c>
      <c r="AL117" s="10">
        <v>16.664100000000001</v>
      </c>
      <c r="AM117" s="10"/>
      <c r="AN117" s="10"/>
      <c r="AO117" s="10">
        <v>11.599</v>
      </c>
      <c r="AP117" s="10">
        <v>10.6061</v>
      </c>
      <c r="AQ117" s="10"/>
      <c r="AR117" s="10"/>
      <c r="AS117" s="10"/>
      <c r="AT117" s="10"/>
      <c r="AU117" s="10"/>
      <c r="AV117" s="10"/>
      <c r="AW117" s="10"/>
    </row>
    <row r="118" spans="1:49">
      <c r="A118" s="4">
        <v>44220</v>
      </c>
      <c r="B118">
        <v>40.3643</v>
      </c>
      <c r="D118">
        <v>78.091099999999997</v>
      </c>
      <c r="F118" s="10">
        <v>10.7334</v>
      </c>
      <c r="I118" s="10">
        <v>12.509</v>
      </c>
      <c r="J118" s="10">
        <v>47.273000000000003</v>
      </c>
      <c r="K118" s="10">
        <v>19.492100000000001</v>
      </c>
      <c r="L118" s="10"/>
      <c r="M118" s="10"/>
      <c r="N118" s="10"/>
      <c r="P118" s="10">
        <v>37.1173</v>
      </c>
      <c r="Q118" s="10">
        <v>26.668399999999998</v>
      </c>
      <c r="R118" s="10"/>
      <c r="S118" s="10">
        <v>87.135099999999994</v>
      </c>
      <c r="T118" s="10"/>
      <c r="U118" s="10"/>
      <c r="V118" s="10"/>
      <c r="W118" s="10"/>
      <c r="X118" s="10"/>
      <c r="Y118" s="10"/>
      <c r="Z118" s="10"/>
      <c r="AA118" s="10">
        <v>22.531199999999998</v>
      </c>
      <c r="AB118" s="10"/>
      <c r="AC118" s="10"/>
      <c r="AD118" s="10"/>
      <c r="AE118" s="10"/>
      <c r="AF118" s="10"/>
      <c r="AG118" s="10"/>
      <c r="AH118" s="10"/>
      <c r="AI118" s="10">
        <v>14.629200000000001</v>
      </c>
      <c r="AJ118" s="10"/>
      <c r="AK118" s="10">
        <v>27.645900000000001</v>
      </c>
      <c r="AL118" s="10">
        <v>16.531300000000002</v>
      </c>
      <c r="AM118" s="10"/>
      <c r="AN118" s="10"/>
      <c r="AO118" s="10">
        <v>12.297499999999999</v>
      </c>
      <c r="AP118" s="10">
        <v>10.613899999999999</v>
      </c>
      <c r="AQ118" s="10"/>
      <c r="AR118" s="10"/>
      <c r="AS118" s="10"/>
      <c r="AT118" s="10"/>
      <c r="AU118" s="10"/>
      <c r="AV118" s="10"/>
      <c r="AW118" s="10"/>
    </row>
    <row r="119" spans="1:49">
      <c r="A119" s="4">
        <v>44226</v>
      </c>
      <c r="B119">
        <v>39.523499999999999</v>
      </c>
      <c r="D119">
        <v>76.466200000000001</v>
      </c>
      <c r="F119" s="10">
        <v>10.7346</v>
      </c>
      <c r="I119" s="10">
        <v>11.958399999999999</v>
      </c>
      <c r="J119" s="10">
        <v>46.163499999999999</v>
      </c>
      <c r="K119" s="10">
        <v>19.0199</v>
      </c>
      <c r="L119" s="10"/>
      <c r="M119" s="10"/>
      <c r="N119" s="10"/>
      <c r="P119" s="10">
        <v>36.3369</v>
      </c>
      <c r="Q119" s="10">
        <v>26.218900000000001</v>
      </c>
      <c r="R119" s="10"/>
      <c r="S119" s="10">
        <v>85.273200000000003</v>
      </c>
      <c r="T119" s="10"/>
      <c r="U119" s="10"/>
      <c r="V119" s="10"/>
      <c r="W119" s="10"/>
      <c r="X119" s="10"/>
      <c r="Y119" s="10"/>
      <c r="Z119" s="10"/>
      <c r="AA119" s="10">
        <v>22.2088</v>
      </c>
      <c r="AB119" s="10"/>
      <c r="AC119" s="10"/>
      <c r="AD119" s="10"/>
      <c r="AE119" s="10"/>
      <c r="AF119" s="10"/>
      <c r="AG119" s="10"/>
      <c r="AH119" s="10"/>
      <c r="AI119" s="10">
        <v>14.616</v>
      </c>
      <c r="AJ119" s="10"/>
      <c r="AK119" s="10">
        <v>27.421900000000001</v>
      </c>
      <c r="AL119" s="10">
        <v>16.1495</v>
      </c>
      <c r="AM119" s="10"/>
      <c r="AN119" s="10"/>
      <c r="AO119" s="10">
        <v>11.8276</v>
      </c>
      <c r="AP119" s="10">
        <v>10.3164</v>
      </c>
      <c r="AQ119" s="10"/>
      <c r="AR119" s="10"/>
      <c r="AS119" s="10"/>
      <c r="AT119" s="10"/>
      <c r="AU119" s="10"/>
      <c r="AV119" s="10"/>
      <c r="AW119" s="10"/>
    </row>
    <row r="120" spans="1:49">
      <c r="A120" s="4">
        <v>44233</v>
      </c>
      <c r="B120">
        <v>40.3446</v>
      </c>
      <c r="D120">
        <v>78.084000000000003</v>
      </c>
      <c r="F120" s="10">
        <v>10.736800000000001</v>
      </c>
      <c r="I120" s="10">
        <v>12.177199999999999</v>
      </c>
      <c r="J120" s="10">
        <v>47.270099999999999</v>
      </c>
      <c r="K120" s="10">
        <v>19.473199999999999</v>
      </c>
      <c r="L120" s="10"/>
      <c r="M120" s="10"/>
      <c r="N120" s="10"/>
      <c r="P120" s="10">
        <v>37.301699999999997</v>
      </c>
      <c r="Q120" s="10">
        <v>26.724599999999999</v>
      </c>
      <c r="R120" s="10"/>
      <c r="S120" s="10">
        <v>87.545100000000005</v>
      </c>
      <c r="T120" s="10"/>
      <c r="U120" s="10"/>
      <c r="V120" s="10"/>
      <c r="W120" s="10"/>
      <c r="X120" s="10"/>
      <c r="Y120" s="10"/>
      <c r="Z120" s="10"/>
      <c r="AA120" s="10">
        <v>22.795300000000001</v>
      </c>
      <c r="AB120" s="10"/>
      <c r="AC120" s="10"/>
      <c r="AD120" s="10"/>
      <c r="AE120" s="10"/>
      <c r="AF120" s="10"/>
      <c r="AG120" s="10"/>
      <c r="AH120" s="10"/>
      <c r="AI120" s="10">
        <v>15.2136</v>
      </c>
      <c r="AJ120" s="10"/>
      <c r="AK120" s="10">
        <v>27.934200000000001</v>
      </c>
      <c r="AL120" s="10">
        <v>16.675599999999999</v>
      </c>
      <c r="AM120" s="10"/>
      <c r="AN120" s="10"/>
      <c r="AO120" s="10">
        <v>12.5114</v>
      </c>
      <c r="AP120" s="10">
        <v>10.7781</v>
      </c>
      <c r="AQ120" s="10"/>
      <c r="AR120" s="10"/>
      <c r="AS120" s="10"/>
      <c r="AT120" s="10"/>
      <c r="AU120" s="10"/>
      <c r="AV120" s="10"/>
      <c r="AW120" s="10"/>
    </row>
    <row r="121" spans="1:49">
      <c r="A121" s="4">
        <v>44240</v>
      </c>
      <c r="B121">
        <v>40.762900000000002</v>
      </c>
      <c r="D121">
        <v>78.915999999999997</v>
      </c>
      <c r="F121" s="10">
        <v>10.7376</v>
      </c>
      <c r="I121" s="10">
        <v>12.5603</v>
      </c>
      <c r="J121" s="10">
        <v>48.410400000000003</v>
      </c>
      <c r="K121" s="10">
        <v>19.9679</v>
      </c>
      <c r="L121" s="10"/>
      <c r="M121" s="10"/>
      <c r="N121" s="10"/>
      <c r="P121" s="10">
        <v>38.255299999999998</v>
      </c>
      <c r="Q121" s="10">
        <v>27.186499999999999</v>
      </c>
      <c r="R121" s="10"/>
      <c r="S121" s="10">
        <v>89.784000000000006</v>
      </c>
      <c r="T121" s="10"/>
      <c r="U121" s="10"/>
      <c r="V121" s="10"/>
      <c r="W121" s="10"/>
      <c r="X121" s="10"/>
      <c r="Y121" s="10"/>
      <c r="Z121" s="10"/>
      <c r="AA121" s="10">
        <v>22.944500000000001</v>
      </c>
      <c r="AB121" s="10"/>
      <c r="AC121" s="10"/>
      <c r="AD121" s="10"/>
      <c r="AE121" s="10"/>
      <c r="AF121" s="10"/>
      <c r="AG121" s="10"/>
      <c r="AH121" s="10"/>
      <c r="AI121" s="10">
        <v>15.3474</v>
      </c>
      <c r="AJ121" s="10"/>
      <c r="AK121" s="10">
        <v>28.154900000000001</v>
      </c>
      <c r="AL121" s="10">
        <v>17.116299999999999</v>
      </c>
      <c r="AM121" s="10"/>
      <c r="AN121" s="10"/>
      <c r="AO121" s="10">
        <v>13.1477</v>
      </c>
      <c r="AP121" s="10">
        <v>11.4533</v>
      </c>
      <c r="AQ121" s="10"/>
      <c r="AR121" s="10"/>
      <c r="AS121" s="10"/>
      <c r="AT121" s="10"/>
      <c r="AU121" s="10"/>
      <c r="AV121" s="10"/>
      <c r="AW121" s="10"/>
    </row>
    <row r="122" spans="1:49">
      <c r="A122" s="4">
        <v>44247</v>
      </c>
      <c r="B122">
        <v>40.131399999999999</v>
      </c>
      <c r="D122">
        <v>77.727800000000002</v>
      </c>
      <c r="F122" s="10">
        <v>10.7372</v>
      </c>
      <c r="I122" s="10">
        <v>12.557700000000001</v>
      </c>
      <c r="J122" s="10">
        <v>48.439</v>
      </c>
      <c r="K122" s="10">
        <v>19.833500000000001</v>
      </c>
      <c r="L122" s="10"/>
      <c r="M122" s="10"/>
      <c r="N122" s="10"/>
      <c r="P122" s="10">
        <v>38.0002</v>
      </c>
      <c r="Q122" s="10">
        <v>27.014399999999998</v>
      </c>
      <c r="R122" s="10"/>
      <c r="S122" s="10">
        <v>89.157300000000006</v>
      </c>
      <c r="T122" s="10"/>
      <c r="U122" s="10"/>
      <c r="V122" s="10"/>
      <c r="W122" s="10"/>
      <c r="X122" s="10"/>
      <c r="Y122" s="10"/>
      <c r="Z122" s="10"/>
      <c r="AA122" s="10">
        <v>22.931699999999999</v>
      </c>
      <c r="AB122" s="10"/>
      <c r="AC122" s="10"/>
      <c r="AD122" s="10"/>
      <c r="AE122" s="10"/>
      <c r="AF122" s="10"/>
      <c r="AG122" s="10"/>
      <c r="AH122" s="10"/>
      <c r="AI122" s="10">
        <v>15.420999999999999</v>
      </c>
      <c r="AJ122" s="10"/>
      <c r="AK122" s="10">
        <v>28.0379</v>
      </c>
      <c r="AL122" s="10">
        <v>16.8963</v>
      </c>
      <c r="AM122" s="10"/>
      <c r="AN122" s="10"/>
      <c r="AO122" s="10">
        <v>12.9489</v>
      </c>
      <c r="AP122" s="10">
        <v>11.432700000000001</v>
      </c>
      <c r="AQ122" s="10"/>
      <c r="AR122" s="10"/>
      <c r="AS122" s="10"/>
      <c r="AT122" s="10"/>
      <c r="AU122" s="10"/>
      <c r="AV122" s="10"/>
      <c r="AW122" s="10"/>
    </row>
    <row r="123" spans="1:49">
      <c r="A123" s="4">
        <v>44254</v>
      </c>
      <c r="B123">
        <v>40.244999999999997</v>
      </c>
      <c r="D123">
        <v>77.927599999999998</v>
      </c>
      <c r="F123" s="10">
        <v>10.736800000000001</v>
      </c>
      <c r="I123" s="10">
        <v>12.0809</v>
      </c>
      <c r="J123" s="10">
        <v>48.758400000000002</v>
      </c>
      <c r="K123" s="10">
        <v>19.896100000000001</v>
      </c>
      <c r="L123" s="10"/>
      <c r="M123" s="10"/>
      <c r="N123" s="10"/>
      <c r="P123" s="10">
        <v>38.0548</v>
      </c>
      <c r="Q123" s="10">
        <v>27.074400000000001</v>
      </c>
      <c r="R123" s="10"/>
      <c r="S123" s="10">
        <v>89.240300000000005</v>
      </c>
      <c r="T123" s="10"/>
      <c r="U123" s="10"/>
      <c r="V123" s="10"/>
      <c r="W123" s="10"/>
      <c r="X123" s="10"/>
      <c r="Y123" s="10"/>
      <c r="Z123" s="10"/>
      <c r="AA123" s="10">
        <v>22.388200000000001</v>
      </c>
      <c r="AB123" s="10"/>
      <c r="AC123" s="10"/>
      <c r="AD123" s="10"/>
      <c r="AE123" s="10"/>
      <c r="AF123" s="10"/>
      <c r="AG123" s="10"/>
      <c r="AH123" s="10"/>
      <c r="AI123" s="10">
        <v>15.664</v>
      </c>
      <c r="AJ123" s="10"/>
      <c r="AK123" s="10">
        <v>28.054500000000001</v>
      </c>
      <c r="AL123" s="10">
        <v>16.921299999999999</v>
      </c>
      <c r="AM123" s="10"/>
      <c r="AN123" s="10"/>
      <c r="AO123" s="10">
        <v>11.8528</v>
      </c>
      <c r="AP123" s="10">
        <v>10.8779</v>
      </c>
      <c r="AQ123" s="10"/>
      <c r="AR123" s="10"/>
      <c r="AS123" s="10"/>
      <c r="AT123" s="10"/>
      <c r="AU123" s="10"/>
      <c r="AV123" s="10"/>
      <c r="AW123" s="10"/>
    </row>
    <row r="124" spans="1:49">
      <c r="A124" s="4">
        <v>44261</v>
      </c>
      <c r="B124">
        <v>41.504800000000003</v>
      </c>
      <c r="D124">
        <v>80.221900000000005</v>
      </c>
      <c r="F124" s="10">
        <v>10.7372</v>
      </c>
      <c r="I124" s="10">
        <v>11.860200000000001</v>
      </c>
      <c r="J124" s="10">
        <v>50.745699999999999</v>
      </c>
      <c r="K124" s="10">
        <v>20.595300000000002</v>
      </c>
      <c r="L124" s="10"/>
      <c r="M124" s="10"/>
      <c r="N124" s="10"/>
      <c r="P124" s="10">
        <v>39.176900000000003</v>
      </c>
      <c r="Q124" s="10">
        <v>27.718900000000001</v>
      </c>
      <c r="R124" s="10"/>
      <c r="S124" s="10">
        <v>91.87</v>
      </c>
      <c r="T124" s="10"/>
      <c r="U124" s="10"/>
      <c r="V124" s="10"/>
      <c r="W124" s="10"/>
      <c r="X124" s="10"/>
      <c r="Y124" s="10"/>
      <c r="Z124" s="10"/>
      <c r="AA124" s="10">
        <v>20.689</v>
      </c>
      <c r="AB124" s="10"/>
      <c r="AC124" s="10"/>
      <c r="AD124" s="10"/>
      <c r="AE124" s="10"/>
      <c r="AF124" s="10"/>
      <c r="AG124" s="10"/>
      <c r="AH124" s="10"/>
      <c r="AI124" s="10">
        <v>16.2041</v>
      </c>
      <c r="AJ124" s="10"/>
      <c r="AK124" s="10">
        <v>28.457599999999999</v>
      </c>
      <c r="AL124" s="10">
        <v>17.050599999999999</v>
      </c>
      <c r="AM124" s="10"/>
      <c r="AN124" s="10"/>
      <c r="AO124" s="10">
        <v>11.223000000000001</v>
      </c>
      <c r="AP124" s="10">
        <v>10.184699999999999</v>
      </c>
      <c r="AQ124" s="10"/>
      <c r="AR124" s="10"/>
      <c r="AS124" s="10"/>
      <c r="AT124" s="10"/>
      <c r="AU124" s="10"/>
      <c r="AV124" s="10"/>
      <c r="AW124" s="10"/>
    </row>
    <row r="125" spans="1:49">
      <c r="A125" s="4">
        <v>44268</v>
      </c>
      <c r="B125">
        <v>42.119599999999998</v>
      </c>
      <c r="D125">
        <v>81.360799999999998</v>
      </c>
      <c r="F125" s="10">
        <v>10.739699999999999</v>
      </c>
      <c r="I125" s="10">
        <v>11.8681</v>
      </c>
      <c r="J125" s="10">
        <v>51.231900000000003</v>
      </c>
      <c r="K125" s="10">
        <v>20.9817</v>
      </c>
      <c r="L125" s="10"/>
      <c r="M125" s="10"/>
      <c r="N125" s="10"/>
      <c r="P125" s="10">
        <v>39.782400000000003</v>
      </c>
      <c r="Q125" s="10">
        <v>28.057099999999998</v>
      </c>
      <c r="R125" s="10"/>
      <c r="S125" s="10">
        <v>93.310900000000004</v>
      </c>
      <c r="T125" s="10"/>
      <c r="U125" s="10"/>
      <c r="V125" s="10"/>
      <c r="W125" s="10"/>
      <c r="X125" s="10"/>
      <c r="Y125" s="10"/>
      <c r="Z125" s="10"/>
      <c r="AA125" s="10">
        <v>21.621300000000002</v>
      </c>
      <c r="AB125" s="10"/>
      <c r="AC125" s="10"/>
      <c r="AD125" s="10"/>
      <c r="AE125" s="10"/>
      <c r="AF125" s="10"/>
      <c r="AG125" s="10"/>
      <c r="AH125" s="10"/>
      <c r="AI125" s="10">
        <v>16.540099999999999</v>
      </c>
      <c r="AJ125" s="10"/>
      <c r="AK125" s="10">
        <v>28.662199999999999</v>
      </c>
      <c r="AL125" s="10">
        <v>17.3367</v>
      </c>
      <c r="AM125" s="10"/>
      <c r="AN125" s="10"/>
      <c r="AO125" s="10">
        <v>11.0909</v>
      </c>
      <c r="AP125" s="10">
        <v>10.321300000000001</v>
      </c>
      <c r="AQ125" s="10"/>
      <c r="AR125" s="10"/>
      <c r="AS125" s="10"/>
      <c r="AT125" s="10"/>
      <c r="AU125" s="10"/>
      <c r="AV125" s="10"/>
      <c r="AW125" s="10"/>
    </row>
    <row r="126" spans="1:49">
      <c r="A126" s="4">
        <v>44275</v>
      </c>
      <c r="B126">
        <v>41.845799999999997</v>
      </c>
      <c r="D126">
        <v>80.890699999999995</v>
      </c>
      <c r="F126" s="10">
        <v>10.7432</v>
      </c>
      <c r="I126" s="10">
        <v>11.1701</v>
      </c>
      <c r="J126" s="10">
        <v>51.102899999999998</v>
      </c>
      <c r="K126" s="10">
        <v>20.782299999999999</v>
      </c>
      <c r="L126" s="10"/>
      <c r="M126" s="10"/>
      <c r="N126" s="10"/>
      <c r="P126" s="10">
        <v>39.560099999999998</v>
      </c>
      <c r="Q126" s="10">
        <v>27.9115</v>
      </c>
      <c r="R126" s="10"/>
      <c r="S126" s="10">
        <v>92.798699999999997</v>
      </c>
      <c r="T126" s="10"/>
      <c r="U126" s="10"/>
      <c r="V126" s="10"/>
      <c r="W126" s="10"/>
      <c r="X126" s="10"/>
      <c r="Y126" s="10"/>
      <c r="Z126" s="10"/>
      <c r="AA126" s="10">
        <v>21.2379</v>
      </c>
      <c r="AB126" s="10"/>
      <c r="AC126" s="10"/>
      <c r="AD126" s="10"/>
      <c r="AE126" s="10"/>
      <c r="AF126" s="10"/>
      <c r="AG126" s="10"/>
      <c r="AH126" s="10"/>
      <c r="AI126" s="10">
        <v>16.768999999999998</v>
      </c>
      <c r="AJ126" s="10"/>
      <c r="AK126" s="10">
        <v>28.659800000000001</v>
      </c>
      <c r="AL126" s="10">
        <v>17.1784</v>
      </c>
      <c r="AM126" s="10"/>
      <c r="AN126" s="10"/>
      <c r="AO126" s="10">
        <v>11.075699999999999</v>
      </c>
      <c r="AP126" s="10">
        <v>10.223100000000001</v>
      </c>
      <c r="AQ126" s="10"/>
      <c r="AR126" s="10"/>
      <c r="AS126" s="10"/>
      <c r="AT126" s="10"/>
      <c r="AU126" s="10"/>
      <c r="AV126" s="10"/>
      <c r="AW126" s="10"/>
    </row>
    <row r="127" spans="1:49">
      <c r="A127" s="4">
        <v>44282</v>
      </c>
      <c r="B127">
        <v>42.065199999999997</v>
      </c>
      <c r="D127">
        <v>81.311999999999998</v>
      </c>
      <c r="F127" s="10">
        <v>10.746600000000001</v>
      </c>
      <c r="I127" s="10">
        <v>10.687900000000001</v>
      </c>
      <c r="J127" s="10">
        <v>51.374699999999997</v>
      </c>
      <c r="K127" s="10">
        <v>20.8796</v>
      </c>
      <c r="L127" s="10"/>
      <c r="M127" s="10"/>
      <c r="N127" s="10"/>
      <c r="P127" s="10">
        <v>39.848100000000002</v>
      </c>
      <c r="Q127" s="10">
        <v>28.0701</v>
      </c>
      <c r="R127" s="10"/>
      <c r="S127" s="10">
        <v>93.439400000000006</v>
      </c>
      <c r="T127" s="10"/>
      <c r="U127" s="10"/>
      <c r="V127" s="10"/>
      <c r="W127" s="10"/>
      <c r="X127" s="10"/>
      <c r="Y127" s="10"/>
      <c r="Z127" s="10"/>
      <c r="AA127" s="10">
        <v>21.228999999999999</v>
      </c>
      <c r="AB127" s="10"/>
      <c r="AC127" s="10"/>
      <c r="AD127" s="10"/>
      <c r="AE127" s="10"/>
      <c r="AF127" s="10"/>
      <c r="AG127" s="10"/>
      <c r="AH127" s="10"/>
      <c r="AI127" s="10">
        <v>16.944900000000001</v>
      </c>
      <c r="AJ127" s="10"/>
      <c r="AK127" s="10">
        <v>28.7361</v>
      </c>
      <c r="AL127" s="10">
        <v>17.224399999999999</v>
      </c>
      <c r="AM127" s="10"/>
      <c r="AN127" s="10"/>
      <c r="AO127" s="10">
        <v>10.350099999999999</v>
      </c>
      <c r="AP127" s="10">
        <v>9.7190999999999992</v>
      </c>
      <c r="AQ127" s="10"/>
      <c r="AR127" s="10"/>
      <c r="AS127" s="10"/>
      <c r="AT127" s="10"/>
      <c r="AU127" s="10"/>
      <c r="AV127" s="10"/>
      <c r="AW127" s="10"/>
    </row>
    <row r="128" spans="1:49">
      <c r="A128" s="4">
        <v>44289</v>
      </c>
      <c r="B128">
        <v>42.409700000000001</v>
      </c>
      <c r="D128">
        <v>81.961600000000004</v>
      </c>
      <c r="F128" s="10">
        <v>10.748699999999999</v>
      </c>
      <c r="I128" s="10">
        <v>11.014099999999999</v>
      </c>
      <c r="J128" s="10">
        <v>51.866</v>
      </c>
      <c r="K128" s="10">
        <v>21.0151</v>
      </c>
      <c r="L128" s="10"/>
      <c r="M128" s="10"/>
      <c r="N128" s="10"/>
      <c r="P128" s="10">
        <v>40.252099999999999</v>
      </c>
      <c r="Q128" s="10">
        <v>28.2865</v>
      </c>
      <c r="R128" s="10"/>
      <c r="S128" s="10">
        <v>94.346000000000004</v>
      </c>
      <c r="T128" s="10"/>
      <c r="U128" s="10"/>
      <c r="V128" s="10"/>
      <c r="W128" s="10"/>
      <c r="X128" s="10"/>
      <c r="Y128" s="10"/>
      <c r="Z128" s="10"/>
      <c r="AA128" s="10">
        <v>22.133500000000002</v>
      </c>
      <c r="AB128" s="10"/>
      <c r="AC128" s="10"/>
      <c r="AD128" s="10"/>
      <c r="AE128" s="10"/>
      <c r="AF128" s="10"/>
      <c r="AG128" s="10"/>
      <c r="AH128" s="10"/>
      <c r="AI128" s="10">
        <v>17.2971</v>
      </c>
      <c r="AJ128" s="10"/>
      <c r="AK128" s="10">
        <v>28.810199999999998</v>
      </c>
      <c r="AL128" s="10">
        <v>17.293299999999999</v>
      </c>
      <c r="AM128" s="10"/>
      <c r="AN128" s="10"/>
      <c r="AO128" s="10">
        <v>10.9833</v>
      </c>
      <c r="AP128" s="10">
        <v>10.4244</v>
      </c>
      <c r="AQ128" s="10"/>
      <c r="AR128" s="10"/>
      <c r="AS128" s="10"/>
      <c r="AT128" s="10"/>
      <c r="AU128" s="10"/>
      <c r="AV128" s="10"/>
      <c r="AW128" s="10"/>
    </row>
    <row r="129" spans="1:49">
      <c r="A129" s="4">
        <v>44296</v>
      </c>
      <c r="B129">
        <v>41.5</v>
      </c>
      <c r="D129">
        <v>80.239999999999995</v>
      </c>
      <c r="F129" s="10">
        <v>10.750400000000001</v>
      </c>
      <c r="I129" s="10">
        <v>11.104900000000001</v>
      </c>
      <c r="J129" s="10">
        <v>51.063699999999997</v>
      </c>
      <c r="K129" s="10">
        <v>20.633199999999999</v>
      </c>
      <c r="L129" s="10"/>
      <c r="M129" s="10"/>
      <c r="N129" s="10"/>
      <c r="P129" s="10">
        <v>39.345799999999997</v>
      </c>
      <c r="Q129" s="10">
        <v>27.761500000000002</v>
      </c>
      <c r="R129" s="10"/>
      <c r="S129" s="10">
        <v>92.2517</v>
      </c>
      <c r="T129" s="10"/>
      <c r="U129" s="10"/>
      <c r="V129" s="10"/>
      <c r="W129" s="10"/>
      <c r="X129" s="10"/>
      <c r="Y129" s="10"/>
      <c r="Z129" s="10"/>
      <c r="AA129" s="10">
        <v>22.8567</v>
      </c>
      <c r="AB129" s="10"/>
      <c r="AC129" s="10"/>
      <c r="AD129" s="10"/>
      <c r="AE129" s="10"/>
      <c r="AF129" s="10"/>
      <c r="AG129" s="10"/>
      <c r="AH129" s="10"/>
      <c r="AI129" s="10">
        <v>16.851400000000002</v>
      </c>
      <c r="AJ129" s="10"/>
      <c r="AK129" s="10">
        <v>28.607299999999999</v>
      </c>
      <c r="AL129" s="10">
        <v>16.899999999999999</v>
      </c>
      <c r="AM129" s="10"/>
      <c r="AN129" s="10"/>
      <c r="AO129" s="10">
        <v>10.9307</v>
      </c>
      <c r="AP129" s="10">
        <v>10.664300000000001</v>
      </c>
      <c r="AQ129" s="10"/>
      <c r="AR129" s="10"/>
      <c r="AS129" s="10"/>
      <c r="AT129" s="10"/>
      <c r="AU129" s="10"/>
      <c r="AV129" s="10"/>
      <c r="AW129" s="10"/>
    </row>
    <row r="130" spans="1:49">
      <c r="A130" s="4">
        <v>44303</v>
      </c>
      <c r="B130">
        <v>41.09</v>
      </c>
      <c r="D130">
        <v>79.47</v>
      </c>
      <c r="F130" s="10"/>
      <c r="I130" s="10">
        <v>10.862299999999999</v>
      </c>
      <c r="J130" s="10">
        <v>51.05</v>
      </c>
      <c r="K130" s="10">
        <v>20.467500000000001</v>
      </c>
      <c r="L130" s="10"/>
      <c r="M130" s="10"/>
      <c r="N130" s="10"/>
      <c r="P130" s="10">
        <v>38.740600000000001</v>
      </c>
      <c r="Q130" s="10">
        <v>27.4224</v>
      </c>
      <c r="R130" s="10"/>
      <c r="S130" s="10">
        <v>90.8446</v>
      </c>
      <c r="T130" s="10"/>
      <c r="U130" s="10"/>
      <c r="V130" s="10"/>
      <c r="W130" s="10"/>
      <c r="X130" s="10"/>
      <c r="Y130" s="10"/>
      <c r="Z130" s="10"/>
      <c r="AA130" s="10">
        <v>22.975300000000001</v>
      </c>
      <c r="AB130" s="10"/>
      <c r="AC130" s="10"/>
      <c r="AD130" s="10"/>
      <c r="AE130" s="10"/>
      <c r="AF130" s="10"/>
      <c r="AG130" s="10"/>
      <c r="AH130" s="10"/>
      <c r="AI130" s="10">
        <v>16.771999999999998</v>
      </c>
      <c r="AJ130" s="10"/>
      <c r="AK130" s="10">
        <v>28.561900000000001</v>
      </c>
      <c r="AL130" s="10">
        <v>16.697199999999999</v>
      </c>
      <c r="AM130" s="10"/>
      <c r="AN130" s="10"/>
      <c r="AO130" s="10">
        <v>10.6198</v>
      </c>
      <c r="AP130" s="10">
        <v>10.6402</v>
      </c>
      <c r="AQ130" s="10"/>
      <c r="AR130" s="10"/>
      <c r="AS130" s="10"/>
      <c r="AT130" s="10"/>
      <c r="AU130" s="10"/>
      <c r="AV130" s="10"/>
      <c r="AW130" s="10"/>
    </row>
    <row r="131" spans="1:49">
      <c r="A131" s="4">
        <v>44310</v>
      </c>
      <c r="B131">
        <v>41.25</v>
      </c>
      <c r="D131">
        <v>79.78</v>
      </c>
      <c r="F131" s="10">
        <v>10.753</v>
      </c>
      <c r="I131" s="10">
        <v>11.019</v>
      </c>
      <c r="J131" s="10">
        <v>51.385100000000001</v>
      </c>
      <c r="K131" s="10">
        <v>20.496600000000001</v>
      </c>
      <c r="L131" s="10"/>
      <c r="M131" s="10"/>
      <c r="N131" s="10"/>
      <c r="P131" s="10">
        <v>38.624699999999997</v>
      </c>
      <c r="Q131" s="10">
        <v>27.347000000000001</v>
      </c>
      <c r="R131" s="10"/>
      <c r="S131" s="10">
        <v>90.570599999999999</v>
      </c>
      <c r="T131" s="10"/>
      <c r="U131" s="10"/>
      <c r="V131" s="10"/>
      <c r="W131" s="10"/>
      <c r="X131" s="10"/>
      <c r="Y131" s="10"/>
      <c r="Z131" s="10"/>
      <c r="AA131" s="10">
        <v>22.853200000000001</v>
      </c>
      <c r="AB131" s="10"/>
      <c r="AC131" s="10"/>
      <c r="AD131" s="10"/>
      <c r="AE131" s="10"/>
      <c r="AF131" s="10"/>
      <c r="AG131" s="10"/>
      <c r="AH131" s="10"/>
      <c r="AI131" s="10">
        <v>17.053599999999999</v>
      </c>
      <c r="AJ131" s="10"/>
      <c r="AK131" s="10">
        <v>28.4451</v>
      </c>
      <c r="AL131" s="10">
        <v>16.613099999999999</v>
      </c>
      <c r="AM131" s="10"/>
      <c r="AN131" s="10"/>
      <c r="AO131" s="10">
        <v>10.956899999999999</v>
      </c>
      <c r="AP131" s="10">
        <v>10.784700000000001</v>
      </c>
      <c r="AQ131" s="10"/>
      <c r="AR131" s="10"/>
      <c r="AS131" s="10"/>
      <c r="AT131" s="10"/>
      <c r="AU131" s="10"/>
      <c r="AV131" s="10"/>
      <c r="AW131" s="10"/>
    </row>
    <row r="132" spans="1:49">
      <c r="A132" s="4">
        <v>44317</v>
      </c>
      <c r="B132">
        <v>41.92</v>
      </c>
      <c r="D132">
        <v>81.069999999999993</v>
      </c>
      <c r="F132" s="10">
        <v>10.754799999999999</v>
      </c>
      <c r="I132" s="10">
        <v>11.331200000000001</v>
      </c>
      <c r="J132" s="10">
        <v>52.274299999999997</v>
      </c>
      <c r="K132" s="10">
        <v>20.838999999999999</v>
      </c>
      <c r="L132" s="10"/>
      <c r="M132" s="10"/>
      <c r="N132" s="10"/>
      <c r="P132" s="10">
        <v>39.371899999999997</v>
      </c>
      <c r="Q132" s="10">
        <v>27.7288</v>
      </c>
      <c r="R132" s="10"/>
      <c r="S132" s="10">
        <v>92.367400000000004</v>
      </c>
      <c r="T132" s="10"/>
      <c r="U132" s="10"/>
      <c r="V132" s="10"/>
      <c r="W132" s="10"/>
      <c r="X132" s="10"/>
      <c r="Y132" s="10"/>
      <c r="Z132" s="10"/>
      <c r="AA132" s="10">
        <v>23.183199999999999</v>
      </c>
      <c r="AB132" s="10"/>
      <c r="AC132" s="10"/>
      <c r="AD132" s="10"/>
      <c r="AE132" s="10"/>
      <c r="AF132" s="10"/>
      <c r="AG132" s="10"/>
      <c r="AH132" s="10"/>
      <c r="AI132" s="10">
        <v>17.202999999999999</v>
      </c>
      <c r="AJ132" s="10"/>
      <c r="AK132" s="10">
        <v>28.7334</v>
      </c>
      <c r="AL132" s="10">
        <v>17.007400000000001</v>
      </c>
      <c r="AM132" s="10"/>
      <c r="AN132" s="10"/>
      <c r="AO132" s="10">
        <v>11.273099999999999</v>
      </c>
      <c r="AP132" s="10">
        <v>10.9679</v>
      </c>
      <c r="AQ132" s="10"/>
      <c r="AR132" s="10"/>
      <c r="AS132" s="10"/>
      <c r="AT132" s="10"/>
      <c r="AU132" s="10"/>
      <c r="AV132" s="10"/>
      <c r="AW132" s="10"/>
    </row>
    <row r="133" spans="1:49">
      <c r="A133" s="4">
        <v>44324</v>
      </c>
      <c r="B133">
        <v>41.59</v>
      </c>
      <c r="D133">
        <v>80.430000000000007</v>
      </c>
      <c r="F133" s="10">
        <v>10.7575</v>
      </c>
      <c r="I133" s="10">
        <v>11.0382</v>
      </c>
      <c r="J133" s="10">
        <v>52.212299999999999</v>
      </c>
      <c r="K133" s="10">
        <v>20.775500000000001</v>
      </c>
      <c r="L133" s="10"/>
      <c r="M133" s="10"/>
      <c r="N133" s="10"/>
      <c r="P133" s="10">
        <v>39.160400000000003</v>
      </c>
      <c r="Q133" s="10">
        <v>27.616199999999999</v>
      </c>
      <c r="R133" s="10"/>
      <c r="S133" s="10">
        <v>91.863900000000001</v>
      </c>
      <c r="T133" s="10"/>
      <c r="U133" s="10"/>
      <c r="V133" s="10"/>
      <c r="W133" s="10"/>
      <c r="X133" s="10"/>
      <c r="Y133" s="10"/>
      <c r="Z133" s="10"/>
      <c r="AA133" s="10">
        <v>22.588799999999999</v>
      </c>
      <c r="AB133" s="10"/>
      <c r="AC133" s="10"/>
      <c r="AD133" s="10"/>
      <c r="AE133" s="10"/>
      <c r="AF133" s="10"/>
      <c r="AG133" s="10"/>
      <c r="AH133" s="10"/>
      <c r="AI133" s="10">
        <v>17.276399999999999</v>
      </c>
      <c r="AJ133" s="10"/>
      <c r="AK133" s="10">
        <v>28.7377</v>
      </c>
      <c r="AL133" s="10">
        <v>16.934200000000001</v>
      </c>
      <c r="AM133" s="10"/>
      <c r="AN133" s="10"/>
      <c r="AO133" s="10">
        <v>10.8896</v>
      </c>
      <c r="AP133" s="10">
        <v>10.0075</v>
      </c>
      <c r="AQ133" s="10"/>
      <c r="AR133" s="10"/>
      <c r="AS133" s="10"/>
      <c r="AT133" s="10"/>
      <c r="AU133" s="10"/>
      <c r="AV133" s="10"/>
      <c r="AW133" s="10"/>
    </row>
    <row r="134" spans="1:49">
      <c r="A134" s="4">
        <v>44331</v>
      </c>
      <c r="B134">
        <v>40.51</v>
      </c>
      <c r="D134">
        <v>78.37</v>
      </c>
      <c r="F134" s="10">
        <v>10.758599999999999</v>
      </c>
      <c r="I134" s="10">
        <v>10.5428</v>
      </c>
      <c r="J134" s="10">
        <v>51.302</v>
      </c>
      <c r="K134" s="10">
        <v>20.314800000000002</v>
      </c>
      <c r="L134" s="10"/>
      <c r="M134" s="10"/>
      <c r="N134" s="10"/>
      <c r="P134" s="10">
        <v>38.369700000000002</v>
      </c>
      <c r="Q134" s="10">
        <v>27.180599999999998</v>
      </c>
      <c r="R134" s="10"/>
      <c r="S134" s="10">
        <v>90.006799999999998</v>
      </c>
      <c r="T134" s="10"/>
      <c r="U134" s="10"/>
      <c r="V134" s="10"/>
      <c r="W134" s="10"/>
      <c r="X134" s="10"/>
      <c r="Y134" s="10"/>
      <c r="Z134" s="10"/>
      <c r="AA134" s="10">
        <v>21.7742</v>
      </c>
      <c r="AB134" s="10"/>
      <c r="AC134" s="10"/>
      <c r="AD134" s="10"/>
      <c r="AE134" s="10"/>
      <c r="AF134" s="10"/>
      <c r="AG134" s="10"/>
      <c r="AH134" s="10"/>
      <c r="AI134" s="10">
        <v>16.834700000000002</v>
      </c>
      <c r="AJ134" s="10"/>
      <c r="AK134" s="10">
        <v>28.477499999999999</v>
      </c>
      <c r="AL134" s="10">
        <v>16.434799999999999</v>
      </c>
      <c r="AM134" s="10"/>
      <c r="AN134" s="10"/>
      <c r="AO134" s="10">
        <v>10.395799999999999</v>
      </c>
      <c r="AP134" s="10">
        <v>9.8251000000000008</v>
      </c>
      <c r="AQ134" s="10"/>
      <c r="AR134" s="10"/>
      <c r="AS134" s="10"/>
      <c r="AT134" s="10"/>
      <c r="AU134" s="10"/>
      <c r="AV134" s="10"/>
      <c r="AW134" s="10"/>
    </row>
    <row r="135" spans="1:49">
      <c r="A135" s="4">
        <v>44338</v>
      </c>
      <c r="B135">
        <v>40.450000000000003</v>
      </c>
      <c r="D135">
        <v>78.3</v>
      </c>
      <c r="F135" s="10">
        <v>10.760400000000001</v>
      </c>
      <c r="I135" s="10">
        <v>10.9336</v>
      </c>
      <c r="J135" s="10">
        <v>51.304400000000001</v>
      </c>
      <c r="K135" s="10">
        <v>20.253299999999999</v>
      </c>
      <c r="L135" s="10"/>
      <c r="M135" s="10"/>
      <c r="N135" s="10"/>
      <c r="P135" s="10">
        <v>38.429600000000001</v>
      </c>
      <c r="Q135" s="10">
        <v>27.188800000000001</v>
      </c>
      <c r="R135" s="10"/>
      <c r="S135" s="10">
        <v>90.125799999999998</v>
      </c>
      <c r="T135" s="10"/>
      <c r="U135" s="10"/>
      <c r="V135" s="10"/>
      <c r="W135" s="10"/>
      <c r="X135" s="10"/>
      <c r="Y135" s="10"/>
      <c r="Z135" s="10"/>
      <c r="AA135" s="10">
        <v>22.4175</v>
      </c>
      <c r="AB135" s="10"/>
      <c r="AC135" s="10"/>
      <c r="AD135" s="10"/>
      <c r="AE135" s="10"/>
      <c r="AF135" s="10"/>
      <c r="AG135" s="10"/>
      <c r="AH135" s="10"/>
      <c r="AI135" s="10">
        <v>17.400200000000002</v>
      </c>
      <c r="AJ135" s="10"/>
      <c r="AK135" s="10">
        <v>28.539100000000001</v>
      </c>
      <c r="AL135" s="10">
        <v>16.470700000000001</v>
      </c>
      <c r="AM135" s="10"/>
      <c r="AN135" s="10"/>
      <c r="AO135" s="10">
        <v>10.9171</v>
      </c>
      <c r="AP135" s="10">
        <v>10.0398</v>
      </c>
      <c r="AQ135" s="10"/>
      <c r="AR135" s="10"/>
      <c r="AS135" s="10"/>
      <c r="AT135" s="10"/>
      <c r="AU135" s="10"/>
      <c r="AV135" s="10"/>
      <c r="AW135" s="10"/>
    </row>
    <row r="136" spans="1:49">
      <c r="A136" s="4">
        <v>44345</v>
      </c>
      <c r="B136">
        <v>41.19</v>
      </c>
      <c r="D136">
        <v>79.69</v>
      </c>
      <c r="F136" s="10">
        <v>10.7623</v>
      </c>
      <c r="I136" s="10">
        <v>11.3512</v>
      </c>
      <c r="J136" s="10">
        <v>52.061500000000002</v>
      </c>
      <c r="K136" s="10">
        <v>20.578900000000001</v>
      </c>
      <c r="L136" s="10"/>
      <c r="M136" s="10"/>
      <c r="N136" s="10"/>
      <c r="P136" s="10">
        <v>39.287300000000002</v>
      </c>
      <c r="Q136" s="10">
        <v>27.6785</v>
      </c>
      <c r="R136" s="10"/>
      <c r="S136" s="10">
        <v>92.081500000000005</v>
      </c>
      <c r="T136" s="10"/>
      <c r="U136" s="10"/>
      <c r="V136" s="10"/>
      <c r="W136" s="10"/>
      <c r="X136" s="10"/>
      <c r="Y136" s="10"/>
      <c r="Z136" s="10"/>
      <c r="AA136" s="10">
        <v>22.6797</v>
      </c>
      <c r="AB136" s="10"/>
      <c r="AC136" s="10"/>
      <c r="AD136" s="10"/>
      <c r="AE136" s="10"/>
      <c r="AF136" s="10"/>
      <c r="AG136" s="10"/>
      <c r="AH136" s="10"/>
      <c r="AI136" s="10">
        <v>17.7331</v>
      </c>
      <c r="AJ136" s="10"/>
      <c r="AK136" s="10">
        <v>28.834199999999999</v>
      </c>
      <c r="AL136" s="10">
        <v>16.7532</v>
      </c>
      <c r="AM136" s="10"/>
      <c r="AN136" s="10"/>
      <c r="AO136" s="10">
        <v>11.2296</v>
      </c>
      <c r="AP136" s="10">
        <v>10.228999999999999</v>
      </c>
      <c r="AQ136" s="10"/>
      <c r="AR136" s="10"/>
      <c r="AS136" s="10"/>
      <c r="AT136" s="10"/>
      <c r="AU136" s="10"/>
      <c r="AV136" s="10"/>
      <c r="AW136" s="10"/>
    </row>
    <row r="137" spans="1:49">
      <c r="A137" s="4">
        <v>44352</v>
      </c>
      <c r="B137">
        <v>41.81</v>
      </c>
      <c r="D137">
        <v>80.900000000000006</v>
      </c>
      <c r="F137" s="10">
        <v>10.763299999999999</v>
      </c>
      <c r="I137" s="10">
        <v>11.3932</v>
      </c>
      <c r="J137" s="10">
        <v>54.492800000000003</v>
      </c>
      <c r="K137" s="10">
        <v>20.859500000000001</v>
      </c>
      <c r="L137" s="10"/>
      <c r="M137" s="10"/>
      <c r="N137" s="10"/>
      <c r="P137" s="10">
        <v>40.024900000000002</v>
      </c>
      <c r="Q137" s="10">
        <v>28.100899999999999</v>
      </c>
      <c r="R137" s="10"/>
      <c r="S137" s="10">
        <v>93.780799999999999</v>
      </c>
      <c r="T137" s="10"/>
      <c r="U137" s="10"/>
      <c r="V137" s="10"/>
      <c r="W137" s="10"/>
      <c r="X137" s="10"/>
      <c r="Y137" s="10"/>
      <c r="Z137" s="10"/>
      <c r="AA137" s="10">
        <v>22.405999999999999</v>
      </c>
      <c r="AB137" s="10"/>
      <c r="AC137" s="10"/>
      <c r="AD137" s="10"/>
      <c r="AE137" s="10"/>
      <c r="AF137" s="10"/>
      <c r="AG137" s="10"/>
      <c r="AH137" s="10"/>
      <c r="AI137" s="10">
        <v>18.063700000000001</v>
      </c>
      <c r="AJ137" s="10"/>
      <c r="AK137" s="10">
        <v>28.981400000000001</v>
      </c>
      <c r="AL137" s="10">
        <v>16.995000000000001</v>
      </c>
      <c r="AM137" s="10"/>
      <c r="AN137" s="10"/>
      <c r="AO137" s="10">
        <v>11.413399999999999</v>
      </c>
      <c r="AP137" s="10">
        <v>10.3705</v>
      </c>
      <c r="AQ137" s="10"/>
      <c r="AR137" s="10"/>
      <c r="AS137" s="10"/>
      <c r="AT137" s="10"/>
      <c r="AU137" s="10"/>
      <c r="AV137" s="10"/>
      <c r="AW137" s="10"/>
    </row>
    <row r="138" spans="1:49">
      <c r="A138" s="4">
        <v>44359</v>
      </c>
      <c r="B138">
        <v>42.76</v>
      </c>
      <c r="D138">
        <v>82.72</v>
      </c>
      <c r="F138" s="10">
        <v>10.7666</v>
      </c>
      <c r="I138" s="10">
        <v>11.218299999999999</v>
      </c>
      <c r="J138" s="10">
        <v>53.067700000000002</v>
      </c>
      <c r="K138" s="10">
        <v>21.1829</v>
      </c>
      <c r="L138" s="10"/>
      <c r="M138" s="10"/>
      <c r="N138" s="10"/>
      <c r="P138" s="10">
        <v>40.762599999999999</v>
      </c>
      <c r="Q138" s="10">
        <v>28.5288</v>
      </c>
      <c r="R138" s="10"/>
      <c r="S138" s="10">
        <v>95.485500000000002</v>
      </c>
      <c r="T138" s="10"/>
      <c r="U138" s="10"/>
      <c r="V138" s="10"/>
      <c r="W138" s="10"/>
      <c r="X138" s="10"/>
      <c r="Y138" s="10"/>
      <c r="Z138" s="10"/>
      <c r="AA138" s="10">
        <v>22.8644</v>
      </c>
      <c r="AB138" s="10"/>
      <c r="AC138" s="10"/>
      <c r="AD138" s="10"/>
      <c r="AE138" s="10"/>
      <c r="AF138" s="10"/>
      <c r="AG138" s="10"/>
      <c r="AH138" s="10"/>
      <c r="AI138" s="10">
        <v>18.172799999999999</v>
      </c>
      <c r="AJ138" s="10"/>
      <c r="AK138" s="10">
        <v>29.122800000000002</v>
      </c>
      <c r="AL138" s="10">
        <v>17.322299999999998</v>
      </c>
      <c r="AM138" s="10"/>
      <c r="AN138" s="10"/>
      <c r="AO138" s="10">
        <v>11.122</v>
      </c>
      <c r="AP138" s="10">
        <v>10.4559</v>
      </c>
      <c r="AQ138" s="10"/>
      <c r="AR138" s="10"/>
      <c r="AS138" s="10"/>
      <c r="AT138" s="10"/>
      <c r="AU138" s="10"/>
      <c r="AV138" s="10"/>
      <c r="AW138" s="10"/>
    </row>
    <row r="139" spans="1:49">
      <c r="A139" s="4">
        <v>44366</v>
      </c>
      <c r="B139">
        <v>42.19</v>
      </c>
      <c r="D139">
        <v>81.63</v>
      </c>
      <c r="F139" s="10">
        <v>10.767899999999999</v>
      </c>
      <c r="I139" s="10">
        <v>11.1442</v>
      </c>
      <c r="J139" s="10">
        <v>52.2333</v>
      </c>
      <c r="K139" s="10">
        <v>20.863299999999999</v>
      </c>
      <c r="L139" s="10"/>
      <c r="M139" s="10"/>
      <c r="N139" s="10"/>
      <c r="P139" s="10">
        <v>40.225200000000001</v>
      </c>
      <c r="Q139" s="10">
        <v>28.226099999999999</v>
      </c>
      <c r="R139" s="10"/>
      <c r="S139" s="10">
        <v>94.204899999999995</v>
      </c>
      <c r="T139" s="10"/>
      <c r="U139" s="10"/>
      <c r="V139" s="10"/>
      <c r="W139" s="10"/>
      <c r="X139" s="10"/>
      <c r="Y139" s="10"/>
      <c r="Z139" s="10"/>
      <c r="AA139" s="10">
        <v>23.215399999999999</v>
      </c>
      <c r="AB139" s="10"/>
      <c r="AC139" s="10"/>
      <c r="AD139" s="10"/>
      <c r="AE139" s="10"/>
      <c r="AF139" s="10"/>
      <c r="AG139" s="10"/>
      <c r="AH139" s="10"/>
      <c r="AI139" s="10">
        <v>18.213699999999999</v>
      </c>
      <c r="AJ139" s="10"/>
      <c r="AK139" s="10">
        <v>29.032499999999999</v>
      </c>
      <c r="AL139" s="10">
        <v>17.006900000000002</v>
      </c>
      <c r="AM139" s="10"/>
      <c r="AN139" s="10"/>
      <c r="AO139" s="10">
        <v>10.9978</v>
      </c>
      <c r="AP139" s="10">
        <v>10.7575</v>
      </c>
      <c r="AQ139" s="10"/>
      <c r="AR139" s="10"/>
      <c r="AS139" s="10"/>
      <c r="AT139" s="10"/>
      <c r="AU139" s="10"/>
      <c r="AV139" s="10"/>
      <c r="AW139" s="10"/>
    </row>
    <row r="140" spans="1:49">
      <c r="A140" s="4">
        <v>44373</v>
      </c>
      <c r="F140" s="10">
        <v>10.770200000000001</v>
      </c>
      <c r="I140" s="10">
        <v>11.2242</v>
      </c>
      <c r="J140" s="10">
        <v>51.329500000000003</v>
      </c>
      <c r="K140" s="10">
        <v>20.467500000000001</v>
      </c>
      <c r="L140" s="10"/>
      <c r="M140" s="10"/>
      <c r="N140" s="10"/>
      <c r="P140" s="10">
        <v>39.256700000000002</v>
      </c>
      <c r="Q140" s="10">
        <v>27.663</v>
      </c>
      <c r="R140" s="10"/>
      <c r="S140" s="10">
        <v>91.966099999999997</v>
      </c>
      <c r="T140" s="10"/>
      <c r="U140" s="10"/>
      <c r="V140" s="10"/>
      <c r="W140" s="10"/>
      <c r="X140" s="10"/>
      <c r="Y140" s="10"/>
      <c r="Z140" s="10"/>
      <c r="AA140" s="10">
        <v>23.585000000000001</v>
      </c>
      <c r="AB140" s="10"/>
      <c r="AC140" s="10"/>
      <c r="AD140" s="10"/>
      <c r="AE140" s="10"/>
      <c r="AF140" s="10"/>
      <c r="AG140" s="10"/>
      <c r="AH140" s="10"/>
      <c r="AI140" s="10">
        <v>17.916</v>
      </c>
      <c r="AJ140" s="10"/>
      <c r="AK140" s="10">
        <v>28.782499999999999</v>
      </c>
      <c r="AL140" s="10">
        <v>16.6706</v>
      </c>
      <c r="AM140" s="10"/>
      <c r="AN140" s="10"/>
      <c r="AO140" s="10">
        <v>11.299799999999999</v>
      </c>
      <c r="AP140" s="10">
        <v>11.371499999999999</v>
      </c>
      <c r="AQ140" s="10"/>
      <c r="AR140" s="10"/>
      <c r="AS140" s="10"/>
      <c r="AT140" s="10"/>
      <c r="AU140" s="10"/>
      <c r="AV140" s="10"/>
      <c r="AW140" s="10"/>
    </row>
    <row r="141" spans="1:49">
      <c r="A141" s="4">
        <v>44380</v>
      </c>
      <c r="B141">
        <v>41.36</v>
      </c>
      <c r="D141">
        <v>80.02</v>
      </c>
      <c r="F141" s="10">
        <v>10.771000000000001</v>
      </c>
      <c r="I141" s="10">
        <v>11.331300000000001</v>
      </c>
      <c r="J141" s="10">
        <v>51.249000000000002</v>
      </c>
      <c r="K141" s="10">
        <v>20.366399999999999</v>
      </c>
      <c r="L141" s="10"/>
      <c r="M141" s="10"/>
      <c r="N141" s="10"/>
      <c r="P141" s="10">
        <v>38.778399999999998</v>
      </c>
      <c r="Q141" s="10">
        <v>27.409300000000002</v>
      </c>
      <c r="R141" s="10"/>
      <c r="S141" s="10">
        <v>90.837599999999995</v>
      </c>
      <c r="T141" s="10"/>
      <c r="U141" s="10"/>
      <c r="V141" s="10"/>
      <c r="W141" s="10"/>
      <c r="X141" s="10"/>
      <c r="Y141" s="10"/>
      <c r="Z141" s="10"/>
      <c r="AA141" s="10">
        <v>23.912099999999999</v>
      </c>
      <c r="AB141" s="10"/>
      <c r="AC141" s="10"/>
      <c r="AD141" s="10"/>
      <c r="AE141" s="10"/>
      <c r="AF141" s="10"/>
      <c r="AG141" s="10"/>
      <c r="AH141" s="10"/>
      <c r="AI141" s="10">
        <v>18.38</v>
      </c>
      <c r="AJ141" s="10"/>
      <c r="AK141" s="10">
        <v>28.828399999999998</v>
      </c>
      <c r="AL141" s="10">
        <v>16.597000000000001</v>
      </c>
      <c r="AM141" s="10"/>
      <c r="AN141" s="10"/>
      <c r="AO141" s="10">
        <v>11.5937</v>
      </c>
      <c r="AP141" s="10">
        <v>11.3545</v>
      </c>
      <c r="AQ141" s="10"/>
      <c r="AR141" s="10"/>
      <c r="AS141" s="10"/>
      <c r="AT141" s="10"/>
      <c r="AU141" s="10"/>
      <c r="AV141" s="10"/>
      <c r="AW141" s="10"/>
    </row>
    <row r="142" spans="1:49">
      <c r="A142" s="4">
        <v>44387</v>
      </c>
      <c r="B142">
        <v>40.71</v>
      </c>
      <c r="D142">
        <v>78.78</v>
      </c>
      <c r="F142" s="10">
        <v>10.773099999999999</v>
      </c>
      <c r="I142" s="10">
        <v>10.8964</v>
      </c>
      <c r="J142" s="10">
        <v>50.414400000000001</v>
      </c>
      <c r="K142" s="10">
        <v>20.0063</v>
      </c>
      <c r="L142" s="10"/>
      <c r="M142" s="10"/>
      <c r="N142" s="10"/>
      <c r="P142" s="10">
        <v>37.948900000000002</v>
      </c>
      <c r="Q142" s="10">
        <v>26.9389</v>
      </c>
      <c r="R142" s="10"/>
      <c r="S142" s="10">
        <v>88.89</v>
      </c>
      <c r="T142" s="10"/>
      <c r="U142" s="10"/>
      <c r="V142" s="10"/>
      <c r="W142" s="10"/>
      <c r="X142" s="10"/>
      <c r="Y142" s="10"/>
      <c r="Z142" s="10"/>
      <c r="AA142" s="10">
        <v>24.2315</v>
      </c>
      <c r="AB142" s="10"/>
      <c r="AC142" s="10"/>
      <c r="AD142" s="10"/>
      <c r="AE142" s="10"/>
      <c r="AF142" s="10"/>
      <c r="AG142" s="10"/>
      <c r="AH142" s="10"/>
      <c r="AI142" s="10">
        <v>18.2837</v>
      </c>
      <c r="AJ142" s="10"/>
      <c r="AK142" s="10">
        <v>28.596800000000002</v>
      </c>
      <c r="AL142" s="10">
        <v>16.203700000000001</v>
      </c>
      <c r="AM142" s="10"/>
      <c r="AN142" s="10"/>
      <c r="AO142" s="10">
        <v>10.639200000000001</v>
      </c>
      <c r="AP142" s="10">
        <v>11.2995</v>
      </c>
      <c r="AQ142" s="10"/>
      <c r="AR142" s="10"/>
      <c r="AS142" s="10"/>
      <c r="AT142" s="10"/>
      <c r="AU142" s="10"/>
      <c r="AV142" s="10"/>
      <c r="AW142" s="10"/>
    </row>
    <row r="143" spans="1:49">
      <c r="A143" s="4">
        <v>44394</v>
      </c>
      <c r="B143">
        <v>41.21</v>
      </c>
      <c r="D143">
        <v>79.73</v>
      </c>
      <c r="F143" s="10">
        <v>10.7744</v>
      </c>
      <c r="I143" s="10">
        <v>11.226900000000001</v>
      </c>
      <c r="J143" s="10">
        <v>50.642000000000003</v>
      </c>
      <c r="K143" s="10">
        <v>20.2346</v>
      </c>
      <c r="L143" s="10"/>
      <c r="M143" s="10"/>
      <c r="N143" s="10"/>
      <c r="P143" s="10">
        <v>38.368200000000002</v>
      </c>
      <c r="Q143" s="10">
        <v>27.1723</v>
      </c>
      <c r="R143" s="10"/>
      <c r="S143" s="10">
        <v>89.873900000000006</v>
      </c>
      <c r="T143" s="10"/>
      <c r="U143" s="10"/>
      <c r="V143" s="10"/>
      <c r="W143" s="10"/>
      <c r="X143" s="10"/>
      <c r="Y143" s="10"/>
      <c r="Z143" s="10"/>
      <c r="AA143" s="10">
        <v>24.366499999999998</v>
      </c>
      <c r="AB143" s="10"/>
      <c r="AC143" s="10"/>
      <c r="AD143" s="10"/>
      <c r="AE143" s="10"/>
      <c r="AF143" s="10"/>
      <c r="AG143" s="10"/>
      <c r="AH143" s="10"/>
      <c r="AI143" s="10">
        <v>18.873100000000001</v>
      </c>
      <c r="AJ143" s="10"/>
      <c r="AK143" s="10">
        <v>28.761800000000001</v>
      </c>
      <c r="AL143" s="10">
        <v>16.422599999999999</v>
      </c>
      <c r="AM143" s="10"/>
      <c r="AN143" s="10"/>
      <c r="AO143" s="10">
        <v>11.185499999999999</v>
      </c>
      <c r="AP143" s="10">
        <v>11.275499999999999</v>
      </c>
      <c r="AQ143" s="10"/>
      <c r="AR143" s="10"/>
      <c r="AS143" s="10"/>
      <c r="AT143" s="10"/>
      <c r="AU143" s="10"/>
      <c r="AV143" s="10"/>
      <c r="AW143" s="10"/>
    </row>
    <row r="144" spans="1:49">
      <c r="A144" s="4">
        <v>44401</v>
      </c>
      <c r="B144">
        <v>40.369999999999997</v>
      </c>
      <c r="D144">
        <v>78.17</v>
      </c>
      <c r="F144" s="10">
        <v>10.7753</v>
      </c>
      <c r="I144" s="10">
        <v>11.089700000000001</v>
      </c>
      <c r="J144" s="10">
        <v>49.893700000000003</v>
      </c>
      <c r="K144" s="10">
        <v>19.825299999999999</v>
      </c>
      <c r="L144" s="10"/>
      <c r="M144" s="10"/>
      <c r="N144" s="10"/>
      <c r="P144" s="10">
        <v>37.610500000000002</v>
      </c>
      <c r="Q144" s="10">
        <v>26.741900000000001</v>
      </c>
      <c r="R144" s="10"/>
      <c r="S144" s="10">
        <v>88.128900000000002</v>
      </c>
      <c r="T144" s="10"/>
      <c r="U144" s="10"/>
      <c r="V144" s="10"/>
      <c r="W144" s="10"/>
      <c r="X144" s="10"/>
      <c r="Y144" s="10"/>
      <c r="Z144" s="10"/>
      <c r="AA144" s="10">
        <v>24.614000000000001</v>
      </c>
      <c r="AB144" s="10"/>
      <c r="AC144" s="10"/>
      <c r="AD144" s="10"/>
      <c r="AE144" s="10"/>
      <c r="AF144" s="10"/>
      <c r="AG144" s="10"/>
      <c r="AH144" s="10"/>
      <c r="AI144" s="10">
        <v>18.4406</v>
      </c>
      <c r="AJ144" s="10"/>
      <c r="AK144" s="10">
        <v>28.577400000000001</v>
      </c>
      <c r="AL144" s="10">
        <v>16.057099999999998</v>
      </c>
      <c r="AM144" s="10"/>
      <c r="AN144" s="10"/>
      <c r="AO144" s="10">
        <v>10.9411</v>
      </c>
      <c r="AP144" s="10">
        <v>11.506</v>
      </c>
      <c r="AQ144" s="10"/>
      <c r="AR144" s="10"/>
      <c r="AS144" s="10"/>
      <c r="AT144" s="10"/>
      <c r="AU144" s="10"/>
      <c r="AV144" s="10"/>
      <c r="AW144" s="10"/>
    </row>
    <row r="145" spans="1:52">
      <c r="A145" s="4">
        <v>44408</v>
      </c>
      <c r="B145">
        <v>39.729999999999997</v>
      </c>
      <c r="D145">
        <v>76.97</v>
      </c>
      <c r="F145" s="10">
        <v>10.776199999999999</v>
      </c>
      <c r="I145" s="10">
        <v>10.714399999999999</v>
      </c>
      <c r="J145" s="10">
        <v>49.454300000000003</v>
      </c>
      <c r="K145" s="10">
        <v>19.5258</v>
      </c>
      <c r="L145" s="10"/>
      <c r="M145" s="10"/>
      <c r="N145" s="10"/>
      <c r="P145" s="10">
        <v>37.171100000000003</v>
      </c>
      <c r="Q145" s="10">
        <v>26.495899999999999</v>
      </c>
      <c r="R145" s="10"/>
      <c r="S145" s="10">
        <v>87.106099999999998</v>
      </c>
      <c r="T145" s="10"/>
      <c r="U145" s="10"/>
      <c r="V145" s="10"/>
      <c r="W145" s="10"/>
      <c r="X145" s="10"/>
      <c r="Y145" s="10"/>
      <c r="Z145" s="10"/>
      <c r="AA145" s="10">
        <v>24.785299999999999</v>
      </c>
      <c r="AB145" s="10"/>
      <c r="AC145" s="10"/>
      <c r="AD145" s="10"/>
      <c r="AE145" s="10"/>
      <c r="AF145" s="10"/>
      <c r="AG145" s="10"/>
      <c r="AH145" s="10"/>
      <c r="AI145" s="10">
        <v>17.936</v>
      </c>
      <c r="AJ145" s="10"/>
      <c r="AK145" s="10">
        <v>28.3733</v>
      </c>
      <c r="AL145" s="10">
        <v>15.786099999999999</v>
      </c>
      <c r="AM145" s="10"/>
      <c r="AN145" s="10"/>
      <c r="AO145" s="10">
        <v>10.133900000000001</v>
      </c>
      <c r="AP145" s="10">
        <v>11.6172</v>
      </c>
      <c r="AQ145" s="10"/>
      <c r="AR145" s="10"/>
      <c r="AS145" s="10"/>
      <c r="AT145" s="10"/>
      <c r="AU145" s="10"/>
      <c r="AV145" s="10"/>
      <c r="AW145" s="10"/>
    </row>
    <row r="146" spans="1:52">
      <c r="A146" s="4">
        <v>44415</v>
      </c>
      <c r="B146">
        <v>39.5</v>
      </c>
      <c r="D146">
        <v>76.52</v>
      </c>
      <c r="F146" s="10">
        <v>10.779500000000001</v>
      </c>
      <c r="I146" s="10">
        <v>10.946999999999999</v>
      </c>
      <c r="J146" s="10">
        <v>49.171300000000002</v>
      </c>
      <c r="K146" s="10">
        <v>19.487400000000001</v>
      </c>
      <c r="L146" s="10"/>
      <c r="M146" s="10"/>
      <c r="N146" s="10"/>
      <c r="P146" s="10">
        <v>37.1267</v>
      </c>
      <c r="Q146" s="10">
        <v>26.449300000000001</v>
      </c>
      <c r="R146" s="10"/>
      <c r="S146" s="10">
        <v>86.989500000000007</v>
      </c>
      <c r="T146" s="10"/>
      <c r="U146" s="10"/>
      <c r="V146" s="10"/>
      <c r="W146" s="10"/>
      <c r="X146" s="10"/>
      <c r="Y146" s="10"/>
      <c r="Z146" s="10"/>
      <c r="AA146" s="10">
        <v>25.031500000000001</v>
      </c>
      <c r="AB146" s="10"/>
      <c r="AC146" s="10"/>
      <c r="AD146" s="10"/>
      <c r="AE146" s="10"/>
      <c r="AF146" s="10"/>
      <c r="AG146" s="10"/>
      <c r="AH146" s="10"/>
      <c r="AI146" s="10">
        <v>17.800599999999999</v>
      </c>
      <c r="AJ146" s="10"/>
      <c r="AK146" s="10">
        <v>28.328700000000001</v>
      </c>
      <c r="AL146" s="10">
        <v>15.7355</v>
      </c>
      <c r="AM146" s="10"/>
      <c r="AN146" s="10"/>
      <c r="AO146" s="10">
        <v>10.045400000000001</v>
      </c>
      <c r="AP146" s="10">
        <v>11.6637</v>
      </c>
      <c r="AQ146" s="10"/>
      <c r="AR146" s="10"/>
      <c r="AS146" s="10"/>
      <c r="AT146" s="10"/>
      <c r="AU146" s="10"/>
      <c r="AV146" s="10"/>
      <c r="AW146" s="10"/>
    </row>
    <row r="147" spans="1:52">
      <c r="A147" s="4">
        <v>44422</v>
      </c>
      <c r="B147">
        <v>39.83</v>
      </c>
      <c r="D147">
        <v>77.17</v>
      </c>
      <c r="F147" s="10">
        <v>10.7807</v>
      </c>
      <c r="I147" s="10">
        <v>11.034599999999999</v>
      </c>
      <c r="J147" s="10">
        <v>49.854500000000002</v>
      </c>
      <c r="K147" s="10">
        <v>19.706199999999999</v>
      </c>
      <c r="L147" s="10"/>
      <c r="M147" s="10"/>
      <c r="N147" s="10"/>
      <c r="P147" s="10">
        <v>37.514600000000002</v>
      </c>
      <c r="Q147" s="10">
        <v>26.673999999999999</v>
      </c>
      <c r="R147" s="10"/>
      <c r="S147" s="10">
        <v>87.908000000000001</v>
      </c>
      <c r="T147" s="10"/>
      <c r="U147" s="10"/>
      <c r="V147" s="10"/>
      <c r="W147" s="10"/>
      <c r="X147" s="10"/>
      <c r="Y147" s="10"/>
      <c r="Z147" s="10"/>
      <c r="AA147" s="10">
        <v>24.7989</v>
      </c>
      <c r="AB147" s="10"/>
      <c r="AC147" s="10"/>
      <c r="AD147" s="10"/>
      <c r="AE147" s="10"/>
      <c r="AF147" s="10"/>
      <c r="AG147" s="10"/>
      <c r="AH147" s="10"/>
      <c r="AI147" s="10">
        <v>17.757300000000001</v>
      </c>
      <c r="AJ147" s="10"/>
      <c r="AK147" s="10">
        <v>28.458100000000002</v>
      </c>
      <c r="AL147" s="10">
        <v>15.907299999999999</v>
      </c>
      <c r="AM147" s="10"/>
      <c r="AN147" s="10"/>
      <c r="AO147" s="10">
        <v>10.188700000000001</v>
      </c>
      <c r="AP147" s="10">
        <v>11.3888</v>
      </c>
      <c r="AQ147" s="10"/>
      <c r="AR147" s="10"/>
      <c r="AS147" s="10"/>
      <c r="AT147" s="10"/>
      <c r="AU147" s="10"/>
      <c r="AV147" s="10"/>
      <c r="AW147" s="10"/>
    </row>
    <row r="148" spans="1:52">
      <c r="A148" s="4">
        <v>44429</v>
      </c>
      <c r="B148">
        <v>40.69</v>
      </c>
      <c r="D148">
        <v>78.86</v>
      </c>
      <c r="F148" s="10">
        <v>10.781599999999999</v>
      </c>
      <c r="I148" s="10">
        <v>10.5741</v>
      </c>
      <c r="J148" s="10">
        <v>50.3078</v>
      </c>
      <c r="K148" s="10">
        <v>20.059799999999999</v>
      </c>
      <c r="L148" s="10"/>
      <c r="M148" s="10"/>
      <c r="N148" s="10"/>
      <c r="P148" s="10">
        <v>38.305999999999997</v>
      </c>
      <c r="Q148" s="10">
        <v>27.142499999999998</v>
      </c>
      <c r="R148" s="10"/>
      <c r="S148" s="10">
        <v>89.725899999999996</v>
      </c>
      <c r="T148" s="10"/>
      <c r="U148" s="10"/>
      <c r="V148" s="10"/>
      <c r="W148" s="10"/>
      <c r="X148" s="10"/>
      <c r="Y148" s="10"/>
      <c r="Z148" s="10"/>
      <c r="AA148" s="10">
        <v>24.6357</v>
      </c>
      <c r="AB148" s="10"/>
      <c r="AC148" s="10"/>
      <c r="AD148" s="10"/>
      <c r="AE148" s="10"/>
      <c r="AF148" s="10"/>
      <c r="AG148" s="10"/>
      <c r="AH148" s="10"/>
      <c r="AI148" s="10">
        <v>18.008700000000001</v>
      </c>
      <c r="AJ148" s="10"/>
      <c r="AK148" s="10">
        <v>28.813700000000001</v>
      </c>
      <c r="AL148" s="10">
        <v>16.287199999999999</v>
      </c>
      <c r="AM148" s="10"/>
      <c r="AN148" s="10"/>
      <c r="AO148" s="10">
        <v>9.3538999999999994</v>
      </c>
      <c r="AP148" s="10">
        <v>11.058299999999999</v>
      </c>
      <c r="AQ148" s="10"/>
      <c r="AR148" s="10"/>
      <c r="AS148" s="10"/>
      <c r="AT148" s="10"/>
      <c r="AU148" s="10"/>
      <c r="AV148" s="10"/>
      <c r="AW148" s="10"/>
    </row>
    <row r="149" spans="1:52">
      <c r="A149" s="4">
        <v>44436</v>
      </c>
      <c r="B149">
        <v>42.04</v>
      </c>
      <c r="D149">
        <v>81.44</v>
      </c>
      <c r="F149" s="10">
        <v>10.782</v>
      </c>
      <c r="I149" s="10">
        <v>10.611499999999999</v>
      </c>
      <c r="J149" s="10">
        <v>51.6965</v>
      </c>
      <c r="K149" s="10">
        <v>20.821100000000001</v>
      </c>
      <c r="L149" s="10"/>
      <c r="M149" s="10"/>
      <c r="N149" s="10"/>
      <c r="P149" s="10">
        <v>39.673200000000001</v>
      </c>
      <c r="Q149" s="10">
        <v>27.968</v>
      </c>
      <c r="R149" s="10"/>
      <c r="S149" s="10">
        <v>92.953800000000001</v>
      </c>
      <c r="T149" s="10"/>
      <c r="U149" s="10"/>
      <c r="V149" s="10"/>
      <c r="W149" s="10"/>
      <c r="X149" s="10"/>
      <c r="Y149" s="10"/>
      <c r="Z149" s="10"/>
      <c r="AA149" s="10">
        <v>25.164999999999999</v>
      </c>
      <c r="AB149" s="10"/>
      <c r="AC149" s="10"/>
      <c r="AD149" s="10"/>
      <c r="AE149" s="10"/>
      <c r="AF149" s="10"/>
      <c r="AG149" s="10"/>
      <c r="AH149" s="10"/>
      <c r="AI149" s="10">
        <v>18.551100000000002</v>
      </c>
      <c r="AJ149" s="10"/>
      <c r="AK149" s="10">
        <v>29.116099999999999</v>
      </c>
      <c r="AL149" s="10">
        <v>16.8353</v>
      </c>
      <c r="AM149" s="10"/>
      <c r="AN149" s="10"/>
      <c r="AO149" s="10">
        <v>9.4937000000000005</v>
      </c>
      <c r="AP149" s="10">
        <v>11.543100000000001</v>
      </c>
      <c r="AQ149" s="10"/>
      <c r="AR149" s="10"/>
      <c r="AS149" s="10"/>
      <c r="AT149" s="10"/>
      <c r="AU149" s="10"/>
      <c r="AV149" s="10"/>
      <c r="AW149" s="10"/>
    </row>
    <row r="150" spans="1:52">
      <c r="A150" s="4">
        <v>44443</v>
      </c>
      <c r="B150">
        <v>42.64</v>
      </c>
      <c r="D150">
        <v>82.59</v>
      </c>
      <c r="F150" s="10">
        <v>10.7813</v>
      </c>
      <c r="I150" s="10">
        <v>10.9557</v>
      </c>
      <c r="J150" s="10">
        <v>52.423299999999998</v>
      </c>
      <c r="K150" s="10">
        <v>21.220500000000001</v>
      </c>
      <c r="L150" s="10"/>
      <c r="M150" s="10"/>
      <c r="N150" s="10"/>
      <c r="P150" s="10">
        <v>40.264899999999997</v>
      </c>
      <c r="Q150" s="10">
        <v>28.318000000000001</v>
      </c>
      <c r="R150" s="10"/>
      <c r="S150" s="10">
        <v>94.331699999999998</v>
      </c>
      <c r="T150" s="10"/>
      <c r="U150" s="10"/>
      <c r="V150" s="10"/>
      <c r="W150" s="10"/>
      <c r="X150" s="10"/>
      <c r="Y150" s="10"/>
      <c r="Z150" s="10"/>
      <c r="AA150" s="10">
        <v>25.1812</v>
      </c>
      <c r="AB150" s="10"/>
      <c r="AC150" s="10"/>
      <c r="AD150" s="10"/>
      <c r="AE150" s="10"/>
      <c r="AF150" s="10"/>
      <c r="AG150" s="10"/>
      <c r="AH150" s="10"/>
      <c r="AI150" s="10">
        <v>18.627700000000001</v>
      </c>
      <c r="AJ150" s="10"/>
      <c r="AK150" s="10">
        <v>29.174499999999998</v>
      </c>
      <c r="AL150" s="10">
        <v>16.782900000000001</v>
      </c>
      <c r="AM150" s="10"/>
      <c r="AN150" s="10"/>
      <c r="AO150" s="10">
        <v>9.6920999999999999</v>
      </c>
      <c r="AP150" s="10">
        <v>11.607900000000001</v>
      </c>
      <c r="AQ150" s="10"/>
      <c r="AR150" s="10"/>
      <c r="AS150" s="10"/>
      <c r="AT150" s="10"/>
      <c r="AU150" s="10"/>
      <c r="AV150" s="10"/>
      <c r="AW150" s="10"/>
    </row>
    <row r="151" spans="1:52">
      <c r="A151" s="4">
        <v>44450</v>
      </c>
      <c r="B151">
        <v>41.96</v>
      </c>
      <c r="D151">
        <v>81.27</v>
      </c>
      <c r="F151" s="10">
        <v>10.781599999999999</v>
      </c>
      <c r="I151" s="10">
        <v>10.826700000000001</v>
      </c>
      <c r="J151" s="10">
        <v>52.047699999999999</v>
      </c>
      <c r="K151" s="10">
        <v>20.939800000000002</v>
      </c>
      <c r="L151" s="10"/>
      <c r="M151" s="10"/>
      <c r="N151" s="10"/>
      <c r="P151" s="10">
        <v>40.070099999999996</v>
      </c>
      <c r="Q151" s="10">
        <v>28.1555</v>
      </c>
      <c r="R151" s="10"/>
      <c r="S151" s="10">
        <v>93.908299999999997</v>
      </c>
      <c r="T151" s="10"/>
      <c r="U151" s="10"/>
      <c r="V151" s="10"/>
      <c r="W151" s="10"/>
      <c r="X151" s="10"/>
      <c r="Y151" s="10"/>
      <c r="Z151" s="10"/>
      <c r="AA151" s="10">
        <v>25.1389</v>
      </c>
      <c r="AB151" s="10"/>
      <c r="AC151" s="10"/>
      <c r="AD151" s="10"/>
      <c r="AE151" s="10"/>
      <c r="AF151" s="10"/>
      <c r="AG151" s="10"/>
      <c r="AH151" s="10"/>
      <c r="AI151" s="10">
        <v>18.450299999999999</v>
      </c>
      <c r="AJ151" s="10"/>
      <c r="AK151" s="10">
        <v>29.018799999999999</v>
      </c>
      <c r="AL151" s="10">
        <v>16.526700000000002</v>
      </c>
      <c r="AM151" s="10"/>
      <c r="AN151" s="10"/>
      <c r="AO151" s="10">
        <v>9.5530000000000008</v>
      </c>
      <c r="AP151" s="10">
        <v>11.5229</v>
      </c>
      <c r="AQ151" s="10"/>
      <c r="AR151" s="10"/>
      <c r="AS151" s="10"/>
      <c r="AT151" s="10"/>
      <c r="AU151" s="10"/>
      <c r="AV151" s="10"/>
      <c r="AW151" s="10"/>
    </row>
    <row r="152" spans="1:52">
      <c r="A152" s="4">
        <v>44457</v>
      </c>
      <c r="B152">
        <v>42.13</v>
      </c>
      <c r="D152">
        <v>81.59</v>
      </c>
      <c r="F152" s="10">
        <v>10.7814</v>
      </c>
      <c r="I152" s="10">
        <v>10.4489</v>
      </c>
      <c r="J152" s="10">
        <v>52.219200000000001</v>
      </c>
      <c r="K152" s="10">
        <v>20.961099999999998</v>
      </c>
      <c r="L152" s="10"/>
      <c r="M152" s="10"/>
      <c r="N152" s="10"/>
      <c r="P152" s="10">
        <v>40.350999999999999</v>
      </c>
      <c r="Q152" s="10">
        <v>28.327300000000001</v>
      </c>
      <c r="R152" s="10"/>
      <c r="S152" s="10">
        <v>94.550299999999993</v>
      </c>
      <c r="T152" s="10"/>
      <c r="U152" s="10"/>
      <c r="V152" s="10"/>
      <c r="W152" s="10"/>
      <c r="X152" s="10"/>
      <c r="Y152" s="10"/>
      <c r="Z152" s="10"/>
      <c r="AA152" s="10">
        <v>25.082599999999999</v>
      </c>
      <c r="AB152" s="10"/>
      <c r="AC152" s="10"/>
      <c r="AD152" s="10"/>
      <c r="AE152" s="10"/>
      <c r="AF152" s="10"/>
      <c r="AG152" s="10"/>
      <c r="AH152" s="10"/>
      <c r="AI152" s="10">
        <v>18.728899999999999</v>
      </c>
      <c r="AJ152" s="10"/>
      <c r="AK152" s="10">
        <v>29.175899999999999</v>
      </c>
      <c r="AL152" s="10">
        <v>16.7713</v>
      </c>
      <c r="AM152" s="10"/>
      <c r="AN152" s="10"/>
      <c r="AO152" s="10">
        <v>9.0517000000000003</v>
      </c>
      <c r="AP152" s="10">
        <v>11.3056</v>
      </c>
      <c r="AQ152" s="10"/>
      <c r="AR152" s="10"/>
      <c r="AS152" s="10"/>
      <c r="AT152" s="10"/>
      <c r="AU152" s="10"/>
      <c r="AV152" s="10"/>
      <c r="AW152" s="10"/>
    </row>
    <row r="153" spans="1:52">
      <c r="A153" s="4">
        <v>44464</v>
      </c>
      <c r="F153" s="10">
        <v>10.782299999999999</v>
      </c>
      <c r="I153" s="10">
        <v>10.2925</v>
      </c>
      <c r="J153" s="10">
        <v>52.624400000000001</v>
      </c>
      <c r="K153" s="10">
        <v>21.181000000000001</v>
      </c>
      <c r="L153" s="10"/>
      <c r="M153" s="10"/>
      <c r="N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>
        <v>24.546099999999999</v>
      </c>
      <c r="AB153" s="10"/>
      <c r="AC153" s="10"/>
      <c r="AD153" s="10"/>
      <c r="AE153" s="10"/>
      <c r="AF153" s="10"/>
      <c r="AG153" s="10"/>
      <c r="AH153" s="10"/>
      <c r="AI153" s="10">
        <v>18.5731</v>
      </c>
      <c r="AJ153" s="10"/>
      <c r="AK153" s="10">
        <v>29.3492</v>
      </c>
      <c r="AL153" s="10">
        <v>17.008400000000002</v>
      </c>
      <c r="AM153" s="10"/>
      <c r="AN153" s="10"/>
      <c r="AO153" s="10">
        <v>8.9628999999999994</v>
      </c>
      <c r="AP153" s="10">
        <v>11.3278</v>
      </c>
      <c r="AQ153" s="10"/>
      <c r="AR153" s="10"/>
      <c r="AS153" s="10"/>
      <c r="AT153" s="10"/>
      <c r="AU153" s="10"/>
      <c r="AV153" s="10"/>
      <c r="AW153" s="10"/>
    </row>
    <row r="154" spans="1:52">
      <c r="A154" s="4">
        <v>44471</v>
      </c>
      <c r="F154" s="10">
        <v>10.7819</v>
      </c>
      <c r="I154" s="10">
        <v>10.396000000000001</v>
      </c>
      <c r="J154" s="10">
        <v>52.020600000000002</v>
      </c>
      <c r="K154" s="10">
        <v>20.863099999999999</v>
      </c>
      <c r="L154" s="10"/>
      <c r="M154" s="10"/>
      <c r="N154" s="10"/>
      <c r="P154" s="10">
        <v>40.294600000000003</v>
      </c>
      <c r="Q154" s="10">
        <v>28.302900000000001</v>
      </c>
      <c r="R154" s="10"/>
      <c r="S154" s="10">
        <v>94.378</v>
      </c>
      <c r="T154" s="10"/>
      <c r="U154" s="10"/>
      <c r="V154" s="10"/>
      <c r="W154" s="10"/>
      <c r="X154" s="10"/>
      <c r="Y154" s="10"/>
      <c r="Z154" s="10"/>
      <c r="AA154" s="10">
        <v>23.775200000000002</v>
      </c>
      <c r="AB154" s="10"/>
      <c r="AC154" s="10"/>
      <c r="AD154" s="10"/>
      <c r="AE154" s="10"/>
      <c r="AF154" s="10"/>
      <c r="AG154" s="10"/>
      <c r="AH154" s="10"/>
      <c r="AI154" s="10">
        <v>18.289200000000001</v>
      </c>
      <c r="AJ154" s="10"/>
      <c r="AK154" s="10">
        <v>29.092500000000001</v>
      </c>
      <c r="AL154" s="10">
        <v>16.739899999999999</v>
      </c>
      <c r="AM154" s="10"/>
      <c r="AN154" s="10"/>
      <c r="AO154" s="10">
        <v>9.2133000000000003</v>
      </c>
      <c r="AP154" s="10">
        <v>10.7613</v>
      </c>
      <c r="AQ154" s="10"/>
      <c r="AR154" s="10"/>
      <c r="AS154" s="10"/>
      <c r="AT154" s="10"/>
      <c r="AU154" s="10"/>
      <c r="AV154" s="10"/>
      <c r="AW154" s="10"/>
    </row>
    <row r="155" spans="1:52">
      <c r="A155" s="4">
        <v>44478</v>
      </c>
      <c r="B155">
        <v>42.331699999999998</v>
      </c>
      <c r="D155">
        <v>81.943799999999996</v>
      </c>
      <c r="F155" s="10">
        <v>10.7805</v>
      </c>
      <c r="I155" s="10">
        <v>10.255699999999999</v>
      </c>
      <c r="J155" s="10">
        <v>53.094000000000001</v>
      </c>
      <c r="K155" s="10">
        <v>21.2776</v>
      </c>
      <c r="L155" s="10"/>
      <c r="M155" s="10"/>
      <c r="N155" s="10"/>
      <c r="P155" s="10">
        <v>41.238100000000003</v>
      </c>
      <c r="Q155" s="10">
        <v>28.822199999999999</v>
      </c>
      <c r="R155" s="10"/>
      <c r="S155" s="10">
        <v>96.594300000000004</v>
      </c>
      <c r="T155" s="10"/>
      <c r="U155" s="10"/>
      <c r="V155" s="10"/>
      <c r="W155" s="10"/>
      <c r="X155" s="10"/>
      <c r="Y155" s="10"/>
      <c r="Z155" s="10"/>
      <c r="AA155" s="10">
        <v>24.1144</v>
      </c>
      <c r="AB155" s="10"/>
      <c r="AC155" s="10"/>
      <c r="AD155" s="10"/>
      <c r="AE155" s="10"/>
      <c r="AF155" s="10"/>
      <c r="AG155" s="10"/>
      <c r="AH155" s="10"/>
      <c r="AI155" s="10">
        <v>18.9192</v>
      </c>
      <c r="AJ155" s="10"/>
      <c r="AK155" s="10">
        <v>29.398299999999999</v>
      </c>
      <c r="AL155" s="10">
        <v>17.118400000000001</v>
      </c>
      <c r="AM155" s="10"/>
      <c r="AN155" s="10"/>
      <c r="AO155" s="10">
        <v>9.1956000000000007</v>
      </c>
      <c r="AP155" s="10">
        <v>10.9778</v>
      </c>
      <c r="AQ155" s="10"/>
      <c r="AR155" s="10"/>
      <c r="AS155" s="10"/>
      <c r="AT155" s="10"/>
      <c r="AU155" s="10"/>
      <c r="AV155" s="10"/>
      <c r="AW155" s="10"/>
    </row>
    <row r="156" spans="1:52">
      <c r="A156" s="4">
        <v>44485</v>
      </c>
      <c r="B156">
        <v>42.448</v>
      </c>
      <c r="D156">
        <v>82.177199999999999</v>
      </c>
      <c r="F156" s="10">
        <v>10.779299999999999</v>
      </c>
      <c r="I156" s="10">
        <v>10.1899</v>
      </c>
      <c r="J156" s="10">
        <v>53.103200000000001</v>
      </c>
      <c r="K156" s="10">
        <v>21.271100000000001</v>
      </c>
      <c r="L156" s="10"/>
      <c r="M156" s="10"/>
      <c r="N156" s="10"/>
      <c r="P156" s="10">
        <v>41.194800000000001</v>
      </c>
      <c r="Q156" s="10">
        <v>28.8262</v>
      </c>
      <c r="R156" s="10"/>
      <c r="S156" s="10">
        <v>96.465299999999999</v>
      </c>
      <c r="T156" s="10"/>
      <c r="U156" s="10"/>
      <c r="V156" s="10"/>
      <c r="W156" s="10"/>
      <c r="X156" s="10"/>
      <c r="Y156" s="10"/>
      <c r="Z156" s="10"/>
      <c r="AA156" s="10">
        <v>24.312100000000001</v>
      </c>
      <c r="AB156" s="10"/>
      <c r="AC156" s="10"/>
      <c r="AD156" s="10"/>
      <c r="AE156" s="10"/>
      <c r="AF156" s="10"/>
      <c r="AG156" s="10"/>
      <c r="AH156" s="10"/>
      <c r="AI156" s="10">
        <v>18.922599999999999</v>
      </c>
      <c r="AJ156" s="10"/>
      <c r="AK156" s="10">
        <v>29.450600000000001</v>
      </c>
      <c r="AL156" s="10">
        <v>17.147400000000001</v>
      </c>
      <c r="AM156" s="10"/>
      <c r="AN156" s="10"/>
      <c r="AO156" s="10">
        <v>9.2253000000000007</v>
      </c>
      <c r="AP156" s="10">
        <v>11.256600000000001</v>
      </c>
      <c r="AQ156" s="10"/>
      <c r="AR156" s="10"/>
      <c r="AS156" s="10"/>
      <c r="AT156" s="10"/>
      <c r="AU156" s="10"/>
      <c r="AV156" s="10"/>
      <c r="AW156" s="10"/>
    </row>
    <row r="157" spans="1:52">
      <c r="A157" s="4">
        <v>44492</v>
      </c>
      <c r="B157">
        <v>42.722099999999998</v>
      </c>
      <c r="D157">
        <v>82.696799999999996</v>
      </c>
      <c r="F157" s="10">
        <v>10.778600000000001</v>
      </c>
      <c r="I157" s="10">
        <v>10.5608</v>
      </c>
      <c r="J157" s="10">
        <v>53.240299999999998</v>
      </c>
      <c r="K157" s="10">
        <v>21.343699999999998</v>
      </c>
      <c r="L157" s="10"/>
      <c r="M157" s="10"/>
      <c r="N157" s="10"/>
      <c r="P157" s="10">
        <v>41.161299999999997</v>
      </c>
      <c r="Q157" s="10">
        <v>28.7866</v>
      </c>
      <c r="R157" s="10"/>
      <c r="S157" s="10">
        <v>96.391000000000005</v>
      </c>
      <c r="T157" s="10"/>
      <c r="U157" s="10"/>
      <c r="V157" s="10"/>
      <c r="W157" s="10"/>
      <c r="X157" s="10"/>
      <c r="Y157" s="10"/>
      <c r="Z157" s="10"/>
      <c r="AA157" s="10">
        <v>24.8901</v>
      </c>
      <c r="AB157" s="10"/>
      <c r="AC157" s="10"/>
      <c r="AD157" s="10"/>
      <c r="AE157" s="10"/>
      <c r="AF157" s="10"/>
      <c r="AG157" s="10"/>
      <c r="AH157" s="10"/>
      <c r="AI157" s="10">
        <v>19.0138</v>
      </c>
      <c r="AJ157" s="10"/>
      <c r="AK157" s="10">
        <v>29.496099999999998</v>
      </c>
      <c r="AL157" s="10">
        <v>17.258099999999999</v>
      </c>
      <c r="AM157" s="10"/>
      <c r="AN157" s="10"/>
      <c r="AO157" s="10">
        <v>9.6859999999999999</v>
      </c>
      <c r="AP157" s="10">
        <v>11.5458</v>
      </c>
      <c r="AQ157" s="10"/>
      <c r="AR157" s="10"/>
      <c r="AS157" s="10"/>
      <c r="AT157" s="10"/>
      <c r="AU157" s="10"/>
      <c r="AV157" s="10"/>
      <c r="AW157" s="10"/>
    </row>
    <row r="158" spans="1:52">
      <c r="A158" s="4">
        <v>44499</v>
      </c>
      <c r="B158">
        <v>42.264400000000002</v>
      </c>
      <c r="D158">
        <v>81.824200000000005</v>
      </c>
      <c r="F158" s="10">
        <v>10.7804</v>
      </c>
      <c r="I158" s="10">
        <v>10.591900000000001</v>
      </c>
      <c r="J158" s="10">
        <v>52.349800000000002</v>
      </c>
      <c r="K158" s="10">
        <v>21.0623</v>
      </c>
      <c r="L158" s="10"/>
      <c r="M158" s="10"/>
      <c r="N158" s="10">
        <v>13.984500000000001</v>
      </c>
      <c r="P158" s="10">
        <v>40.619399999999999</v>
      </c>
      <c r="Q158" s="10">
        <v>28.506</v>
      </c>
      <c r="R158" s="10"/>
      <c r="S158" s="10">
        <v>95.143100000000004</v>
      </c>
      <c r="T158" s="10"/>
      <c r="U158" s="10"/>
      <c r="V158" s="10"/>
      <c r="W158" s="10"/>
      <c r="X158" s="10"/>
      <c r="Y158" s="10"/>
      <c r="Z158" s="10"/>
      <c r="AA158" s="10">
        <v>25.500800000000002</v>
      </c>
      <c r="AB158" s="10"/>
      <c r="AC158" s="10"/>
      <c r="AD158" s="10"/>
      <c r="AE158" s="10"/>
      <c r="AF158" s="10"/>
      <c r="AG158" s="10"/>
      <c r="AH158" s="10"/>
      <c r="AI158" s="10">
        <v>18.970500000000001</v>
      </c>
      <c r="AJ158" s="10"/>
      <c r="AK158" s="10">
        <v>29.490600000000001</v>
      </c>
      <c r="AL158" s="10">
        <v>17.1252</v>
      </c>
      <c r="AM158" s="10"/>
      <c r="AN158" s="10"/>
      <c r="AO158" s="10">
        <v>9.4536999999999995</v>
      </c>
      <c r="AP158" s="10">
        <v>11.108599999999999</v>
      </c>
      <c r="AQ158" s="10"/>
      <c r="AR158" s="10"/>
      <c r="AS158" s="10"/>
      <c r="AT158" s="10"/>
      <c r="AU158" s="10"/>
      <c r="AV158" s="10"/>
      <c r="AW158" s="10"/>
      <c r="AY158" s="10">
        <v>20.074300000000001</v>
      </c>
      <c r="AZ158" s="10"/>
    </row>
    <row r="159" spans="1:52">
      <c r="A159" s="4">
        <v>44506</v>
      </c>
      <c r="B159">
        <v>42.736699999999999</v>
      </c>
      <c r="D159">
        <v>82.740700000000004</v>
      </c>
      <c r="J159" s="10">
        <v>52.225000000000001</v>
      </c>
      <c r="K159" s="10">
        <v>21.1143</v>
      </c>
      <c r="L159">
        <v>21.88</v>
      </c>
      <c r="N159">
        <v>13.899800000000001</v>
      </c>
      <c r="O159">
        <v>21.049700000000001</v>
      </c>
      <c r="P159" s="10">
        <v>40.625500000000002</v>
      </c>
      <c r="Q159" s="10">
        <v>28.5474</v>
      </c>
      <c r="R159" s="10"/>
      <c r="S159" s="10">
        <v>95.159599999999998</v>
      </c>
      <c r="T159" s="10"/>
      <c r="U159" s="10"/>
      <c r="V159" s="10"/>
      <c r="W159" s="10"/>
      <c r="X159" s="10"/>
      <c r="Y159" s="10"/>
      <c r="Z159" s="10"/>
      <c r="AA159" s="10">
        <v>25.460599999999999</v>
      </c>
      <c r="AB159" s="10"/>
      <c r="AC159" s="10">
        <v>13.1305</v>
      </c>
      <c r="AD159" s="10">
        <v>13.348100000000001</v>
      </c>
      <c r="AE159" s="10">
        <v>16.050699999999999</v>
      </c>
      <c r="AF159" s="10"/>
      <c r="AG159" s="10"/>
      <c r="AH159" s="10"/>
      <c r="AI159" s="10">
        <v>18.889800000000001</v>
      </c>
      <c r="AJ159" s="10"/>
      <c r="AK159" s="10">
        <v>29.5946</v>
      </c>
      <c r="AL159" s="10">
        <v>17.250699999999998</v>
      </c>
      <c r="AM159" s="10"/>
      <c r="AN159" s="10"/>
      <c r="AO159" s="10">
        <v>9.4957999999999991</v>
      </c>
      <c r="AP159" s="10">
        <v>11.3096</v>
      </c>
      <c r="AQ159" s="10"/>
      <c r="AR159" s="10"/>
      <c r="AS159" s="10"/>
      <c r="AT159" s="10"/>
      <c r="AU159" s="10"/>
      <c r="AV159" s="10"/>
      <c r="AY159">
        <v>20.400600000000001</v>
      </c>
    </row>
    <row r="160" spans="1:52">
      <c r="A160" s="17">
        <v>44513</v>
      </c>
      <c r="B160">
        <v>42.809800000000003</v>
      </c>
      <c r="D160">
        <v>82.879599999999996</v>
      </c>
      <c r="J160" s="10">
        <v>52.534799999999997</v>
      </c>
      <c r="K160" s="10">
        <v>20.422899999999998</v>
      </c>
      <c r="L160">
        <v>21.630800000000001</v>
      </c>
      <c r="N160">
        <v>14.106299999999999</v>
      </c>
      <c r="O160">
        <v>20.796900000000001</v>
      </c>
      <c r="P160" s="10">
        <v>41.178699999999999</v>
      </c>
      <c r="Q160" s="10">
        <v>28.837599999999998</v>
      </c>
      <c r="R160" s="10"/>
      <c r="S160" s="10">
        <v>96.485100000000003</v>
      </c>
      <c r="T160" s="10"/>
      <c r="U160" s="10"/>
      <c r="V160" s="10"/>
      <c r="W160" s="10"/>
      <c r="X160" s="10"/>
      <c r="Y160" s="10"/>
      <c r="Z160" s="10"/>
      <c r="AA160" s="10">
        <v>25.815000000000001</v>
      </c>
      <c r="AB160" s="10"/>
      <c r="AC160" s="10">
        <v>12.9976</v>
      </c>
      <c r="AD160" s="10">
        <v>12.978300000000001</v>
      </c>
      <c r="AE160" s="10">
        <v>16.071300000000001</v>
      </c>
      <c r="AF160" s="10"/>
      <c r="AG160" s="10"/>
      <c r="AH160" s="10"/>
      <c r="AI160" s="10">
        <v>19.2042</v>
      </c>
      <c r="AJ160" s="10"/>
      <c r="AK160" s="10">
        <v>29.7043</v>
      </c>
      <c r="AL160" s="10">
        <v>17.3919</v>
      </c>
      <c r="AM160" s="10"/>
      <c r="AN160" s="10"/>
      <c r="AO160" s="10">
        <v>9.3838000000000008</v>
      </c>
      <c r="AP160" s="10">
        <v>11.629300000000001</v>
      </c>
      <c r="AQ160" s="10"/>
      <c r="AR160" s="10"/>
      <c r="AS160" s="10"/>
      <c r="AT160" s="10"/>
      <c r="AU160" s="10"/>
      <c r="AV160" s="10"/>
      <c r="AY160">
        <v>19.7639</v>
      </c>
    </row>
    <row r="161" spans="1:56">
      <c r="A161" s="4">
        <v>44520</v>
      </c>
      <c r="B161">
        <v>43.000300000000003</v>
      </c>
      <c r="D161">
        <v>83.241100000000003</v>
      </c>
      <c r="J161" s="10">
        <v>52.719000000000001</v>
      </c>
      <c r="K161" s="10">
        <v>20.482199999999999</v>
      </c>
      <c r="L161">
        <v>22.4011</v>
      </c>
      <c r="N161">
        <v>14.3306</v>
      </c>
      <c r="O161">
        <v>20.9832</v>
      </c>
      <c r="P161" s="10">
        <v>41.310899999999997</v>
      </c>
      <c r="Q161" s="10">
        <v>28.8995</v>
      </c>
      <c r="R161" s="10"/>
      <c r="S161" s="10">
        <v>96.848100000000002</v>
      </c>
      <c r="T161" s="10"/>
      <c r="U161" s="10"/>
      <c r="V161" s="10"/>
      <c r="W161" s="10"/>
      <c r="X161" s="10"/>
      <c r="Y161" s="10"/>
      <c r="Z161" s="10"/>
      <c r="AA161" s="10">
        <v>26.607500000000002</v>
      </c>
      <c r="AB161" s="10"/>
      <c r="AC161" s="10">
        <v>13.1113</v>
      </c>
      <c r="AD161" s="10">
        <v>12.8407</v>
      </c>
      <c r="AE161" s="10">
        <v>16.407499999999999</v>
      </c>
      <c r="AF161">
        <v>14.946300000000001</v>
      </c>
      <c r="AI161" s="10">
        <v>19.3538</v>
      </c>
      <c r="AJ161" s="10"/>
      <c r="AK161" s="10">
        <v>29.681000000000001</v>
      </c>
      <c r="AL161" s="10">
        <v>17.420300000000001</v>
      </c>
      <c r="AM161" s="10"/>
      <c r="AN161" s="10"/>
      <c r="AO161" s="10">
        <v>9.5053999999999998</v>
      </c>
      <c r="AP161" s="10">
        <v>11.9412</v>
      </c>
      <c r="AQ161" s="10"/>
      <c r="AR161" s="10"/>
      <c r="AS161" s="10"/>
      <c r="AT161" s="10"/>
      <c r="AU161" s="10"/>
      <c r="AV161" s="10"/>
      <c r="AY161">
        <v>20.055299999999999</v>
      </c>
    </row>
    <row r="162" spans="1:56">
      <c r="A162" s="4">
        <v>44527</v>
      </c>
      <c r="B162">
        <v>41.795999999999999</v>
      </c>
      <c r="D162">
        <v>80.897499999999994</v>
      </c>
      <c r="J162" s="10">
        <v>51.664400000000001</v>
      </c>
      <c r="K162" s="10">
        <v>20.036000000000001</v>
      </c>
      <c r="L162">
        <v>20.8139</v>
      </c>
      <c r="N162">
        <v>14.213900000000001</v>
      </c>
      <c r="O162">
        <v>20.452500000000001</v>
      </c>
      <c r="P162" s="10">
        <v>40.200699999999998</v>
      </c>
      <c r="Q162" s="10">
        <v>28.2866</v>
      </c>
      <c r="R162" s="10"/>
      <c r="S162" s="10">
        <v>94.317499999999995</v>
      </c>
      <c r="T162" s="10"/>
      <c r="U162" s="10"/>
      <c r="V162" s="10"/>
      <c r="W162" s="10"/>
      <c r="X162" s="10"/>
      <c r="Y162" s="10"/>
      <c r="Z162" s="10"/>
      <c r="AA162" s="10">
        <v>26.487500000000001</v>
      </c>
      <c r="AB162" s="10"/>
      <c r="AC162" s="10">
        <v>13.018599999999999</v>
      </c>
      <c r="AD162" s="10">
        <v>12.4011</v>
      </c>
      <c r="AE162" s="10">
        <v>15.6693</v>
      </c>
      <c r="AF162" s="10">
        <v>15.835800000000001</v>
      </c>
      <c r="AG162" s="10"/>
      <c r="AH162" s="10"/>
      <c r="AI162" s="10">
        <v>19.092700000000001</v>
      </c>
      <c r="AJ162" s="10"/>
      <c r="AK162" s="10">
        <v>29.352</v>
      </c>
      <c r="AL162" s="10">
        <v>16.932600000000001</v>
      </c>
      <c r="AM162" s="10"/>
      <c r="AN162" s="10"/>
      <c r="AO162" s="10">
        <v>9.2258999999999993</v>
      </c>
      <c r="AP162" s="10">
        <v>10.993</v>
      </c>
      <c r="AQ162" s="10"/>
      <c r="AR162" s="10"/>
      <c r="AS162" s="10"/>
      <c r="AT162" s="10"/>
      <c r="AU162" s="10"/>
      <c r="AV162" s="10"/>
      <c r="AY162">
        <v>19.156199999999998</v>
      </c>
    </row>
    <row r="163" spans="1:56">
      <c r="A163" s="4">
        <v>44534</v>
      </c>
      <c r="B163">
        <v>41.08</v>
      </c>
      <c r="D163">
        <v>79.504400000000004</v>
      </c>
      <c r="J163" s="10">
        <v>50.7879</v>
      </c>
      <c r="K163" s="10">
        <v>19.680099999999999</v>
      </c>
      <c r="L163">
        <v>19.595300000000002</v>
      </c>
      <c r="N163">
        <v>14.0002</v>
      </c>
      <c r="O163">
        <v>20.277100000000001</v>
      </c>
      <c r="P163" s="10">
        <v>39.491199999999999</v>
      </c>
      <c r="Q163" s="10">
        <v>27.892900000000001</v>
      </c>
      <c r="R163" s="10"/>
      <c r="S163" s="10">
        <v>92.747</v>
      </c>
      <c r="T163" s="10"/>
      <c r="U163" s="10"/>
      <c r="V163" s="10"/>
      <c r="W163" s="10"/>
      <c r="X163" s="10"/>
      <c r="Y163" s="10"/>
      <c r="Z163" s="10"/>
      <c r="AA163" s="10">
        <v>25.527200000000001</v>
      </c>
      <c r="AB163" s="10"/>
      <c r="AC163" s="10">
        <v>12.692500000000001</v>
      </c>
      <c r="AD163" s="10">
        <v>12.2241</v>
      </c>
      <c r="AE163" s="10">
        <v>15.6174</v>
      </c>
      <c r="AF163" s="10">
        <v>15.327</v>
      </c>
      <c r="AG163" s="10"/>
      <c r="AH163" s="10"/>
      <c r="AI163" s="10">
        <v>18.725000000000001</v>
      </c>
      <c r="AJ163" s="10"/>
      <c r="AK163" s="10">
        <v>29.065000000000001</v>
      </c>
      <c r="AL163" s="10">
        <v>16.5822</v>
      </c>
      <c r="AM163" s="10"/>
      <c r="AN163" s="10"/>
      <c r="AO163" s="10">
        <v>8.8672000000000004</v>
      </c>
      <c r="AP163" s="10">
        <v>10.295999999999999</v>
      </c>
      <c r="AQ163" s="10"/>
      <c r="AR163" s="10"/>
      <c r="AS163" s="10"/>
      <c r="AT163" s="10"/>
      <c r="AU163" s="10"/>
      <c r="AV163" s="10"/>
      <c r="AY163">
        <v>17.9876</v>
      </c>
    </row>
    <row r="164" spans="1:56">
      <c r="A164" s="4">
        <v>44540</v>
      </c>
      <c r="B164">
        <v>41.691000000000003</v>
      </c>
      <c r="D164">
        <v>80.683300000000003</v>
      </c>
      <c r="J164" s="10">
        <v>51.545000000000002</v>
      </c>
      <c r="K164" s="10">
        <v>20.015699999999999</v>
      </c>
      <c r="L164">
        <v>19.631699999999999</v>
      </c>
      <c r="N164">
        <v>13.9923</v>
      </c>
      <c r="O164">
        <v>20.782599999999999</v>
      </c>
      <c r="P164" s="10">
        <v>40.162599999999998</v>
      </c>
      <c r="Q164" s="10">
        <v>28.251899999999999</v>
      </c>
      <c r="R164" s="10"/>
      <c r="S164" s="10">
        <v>94.274199999999993</v>
      </c>
      <c r="T164" s="10"/>
      <c r="U164" s="10"/>
      <c r="V164" s="10"/>
      <c r="W164" s="10"/>
      <c r="X164" s="10"/>
      <c r="Y164" s="10"/>
      <c r="Z164" s="10"/>
      <c r="AA164" s="10">
        <v>26.1525</v>
      </c>
      <c r="AB164" s="10"/>
      <c r="AC164" s="10">
        <v>13.014799999999999</v>
      </c>
      <c r="AD164" s="10">
        <v>12.3932</v>
      </c>
      <c r="AE164" s="10">
        <v>16.104800000000001</v>
      </c>
      <c r="AF164" s="10">
        <v>15.2317</v>
      </c>
      <c r="AG164" s="10"/>
      <c r="AH164" s="10"/>
      <c r="AI164" s="10">
        <v>19.1861</v>
      </c>
      <c r="AJ164" s="10"/>
      <c r="AK164" s="10">
        <v>29.3126</v>
      </c>
      <c r="AL164" s="10">
        <v>16.9148</v>
      </c>
      <c r="AM164" s="10"/>
      <c r="AN164" s="10"/>
      <c r="AO164" s="10">
        <v>8.9390000000000001</v>
      </c>
      <c r="AP164" s="10">
        <v>10.398999999999999</v>
      </c>
      <c r="AQ164" s="10"/>
      <c r="AR164" s="10"/>
      <c r="AS164" s="10"/>
      <c r="AT164" s="10"/>
      <c r="AU164" s="10"/>
      <c r="AV164" s="10"/>
      <c r="AY164">
        <v>18.403500000000001</v>
      </c>
    </row>
    <row r="165" spans="1:56">
      <c r="A165" s="4">
        <v>44548</v>
      </c>
      <c r="B165">
        <v>42.051099999999998</v>
      </c>
      <c r="D165">
        <v>81.37</v>
      </c>
      <c r="J165" s="10">
        <v>52.124899999999997</v>
      </c>
      <c r="K165" s="10">
        <v>20.258400000000002</v>
      </c>
      <c r="L165">
        <v>18.5122</v>
      </c>
      <c r="N165">
        <v>13.911199999999999</v>
      </c>
      <c r="O165">
        <v>20.437200000000001</v>
      </c>
      <c r="P165" s="10">
        <v>40.613799999999998</v>
      </c>
      <c r="Q165" s="10">
        <v>28.445499999999999</v>
      </c>
      <c r="R165" s="10"/>
      <c r="S165" s="10">
        <v>95.307500000000005</v>
      </c>
      <c r="T165" s="10"/>
      <c r="U165" s="10"/>
      <c r="V165" s="10"/>
      <c r="W165" s="10"/>
      <c r="X165" s="10"/>
      <c r="Y165" s="10"/>
      <c r="Z165" s="10"/>
      <c r="AA165" s="10">
        <v>25.300599999999999</v>
      </c>
      <c r="AB165" s="10"/>
      <c r="AC165" s="10">
        <v>12.857900000000001</v>
      </c>
      <c r="AD165" s="10">
        <v>12.038399999999999</v>
      </c>
      <c r="AE165" s="10">
        <v>15.827299999999999</v>
      </c>
      <c r="AF165" s="10">
        <v>15.1767</v>
      </c>
      <c r="AG165" s="10"/>
      <c r="AH165" s="10"/>
      <c r="AI165" s="10">
        <v>19.278199999999998</v>
      </c>
      <c r="AJ165" s="10"/>
      <c r="AK165" s="10">
        <v>29.4284</v>
      </c>
      <c r="AL165" s="10">
        <v>17.126200000000001</v>
      </c>
      <c r="AM165" s="10"/>
      <c r="AN165" s="10"/>
      <c r="AO165" s="10">
        <v>8.7559000000000005</v>
      </c>
      <c r="AP165" s="10">
        <v>9.8747000000000007</v>
      </c>
      <c r="AQ165" s="10"/>
      <c r="AR165" s="10"/>
      <c r="AS165" s="10"/>
      <c r="AT165" s="10"/>
      <c r="AU165" s="10"/>
      <c r="AV165" s="10"/>
      <c r="AY165">
        <v>17.8996</v>
      </c>
    </row>
    <row r="166" spans="1:56">
      <c r="A166" s="4">
        <v>44555</v>
      </c>
      <c r="B166">
        <v>41.764699999999998</v>
      </c>
      <c r="D166">
        <v>80.810299999999998</v>
      </c>
      <c r="J166">
        <v>52.1113</v>
      </c>
      <c r="K166" s="10">
        <v>20.1769</v>
      </c>
      <c r="L166">
        <v>18.709599999999998</v>
      </c>
      <c r="N166">
        <v>13.8527</v>
      </c>
      <c r="O166">
        <v>20.450099999999999</v>
      </c>
      <c r="P166" s="10">
        <v>40.261800000000001</v>
      </c>
      <c r="Q166" s="10">
        <v>28.305</v>
      </c>
      <c r="R166" s="10"/>
      <c r="S166" s="10">
        <v>94.606800000000007</v>
      </c>
      <c r="T166" s="10"/>
      <c r="U166" s="10"/>
      <c r="V166" s="10"/>
      <c r="W166" s="10"/>
      <c r="X166" s="10"/>
      <c r="Y166" s="10"/>
      <c r="Z166" s="10"/>
      <c r="AA166" s="10">
        <v>25.9923</v>
      </c>
      <c r="AB166" s="10"/>
      <c r="AC166" s="10">
        <v>13.023300000000001</v>
      </c>
      <c r="AD166" s="10">
        <v>11.953200000000001</v>
      </c>
      <c r="AE166" s="10">
        <v>15.8072</v>
      </c>
      <c r="AF166" s="10">
        <v>15.152900000000001</v>
      </c>
      <c r="AG166" s="10"/>
      <c r="AH166" s="10">
        <v>14.2782</v>
      </c>
      <c r="AI166" s="10">
        <v>19.475300000000001</v>
      </c>
      <c r="AJ166" s="10"/>
      <c r="AK166" s="10">
        <v>29.332899999999999</v>
      </c>
      <c r="AL166" s="10">
        <v>17.028600000000001</v>
      </c>
      <c r="AM166" s="10"/>
      <c r="AN166" s="10"/>
      <c r="AO166" s="10">
        <v>8.5756999999999994</v>
      </c>
      <c r="AP166" s="10">
        <v>10.0305</v>
      </c>
      <c r="AQ166" s="10"/>
      <c r="AR166" s="10"/>
      <c r="AS166" s="10"/>
      <c r="AT166" s="10"/>
      <c r="AU166" s="10"/>
      <c r="AV166" s="10"/>
      <c r="AY166">
        <v>18.049399999999999</v>
      </c>
    </row>
    <row r="167" spans="1:56">
      <c r="A167" s="4">
        <v>44561</v>
      </c>
      <c r="B167">
        <v>42.2059</v>
      </c>
      <c r="D167">
        <v>81.656800000000004</v>
      </c>
      <c r="J167">
        <v>52.8613</v>
      </c>
      <c r="K167" s="10">
        <v>20.432200000000002</v>
      </c>
      <c r="L167">
        <v>18.510300000000001</v>
      </c>
      <c r="N167">
        <v>13.8673</v>
      </c>
      <c r="O167">
        <v>20.904</v>
      </c>
      <c r="P167" s="10">
        <v>40.637799999999999</v>
      </c>
      <c r="Q167" s="10">
        <v>28.5154</v>
      </c>
      <c r="R167" s="10"/>
      <c r="S167" s="10">
        <v>95.457800000000006</v>
      </c>
      <c r="T167" s="10"/>
      <c r="U167" s="10"/>
      <c r="V167" s="10"/>
      <c r="W167" s="10"/>
      <c r="X167" s="10"/>
      <c r="Y167" s="10"/>
      <c r="Z167" s="10"/>
      <c r="AA167" s="10">
        <v>26.282399999999999</v>
      </c>
      <c r="AB167" s="10"/>
      <c r="AC167" s="10">
        <v>13.146699999999999</v>
      </c>
      <c r="AD167" s="10">
        <v>11.970599999999999</v>
      </c>
      <c r="AE167" s="10">
        <v>16.183499999999999</v>
      </c>
      <c r="AF167" s="10">
        <v>15.273300000000001</v>
      </c>
      <c r="AG167" s="10"/>
      <c r="AH167" s="10">
        <v>14.033300000000001</v>
      </c>
      <c r="AI167" s="10">
        <v>19.808599999999998</v>
      </c>
      <c r="AJ167" s="10"/>
      <c r="AK167" s="10">
        <v>29.452500000000001</v>
      </c>
      <c r="AL167" s="10">
        <v>17.2363</v>
      </c>
      <c r="AM167" s="10"/>
      <c r="AN167" s="10"/>
      <c r="AO167" s="10">
        <v>8.4377999999999993</v>
      </c>
      <c r="AP167" s="10">
        <v>9.8817000000000004</v>
      </c>
      <c r="AQ167" s="10"/>
      <c r="AR167" s="10"/>
      <c r="AS167" s="10"/>
      <c r="AT167" s="10"/>
      <c r="AU167" s="10"/>
      <c r="AV167" s="10"/>
      <c r="AY167">
        <v>17.895700000000001</v>
      </c>
    </row>
    <row r="168" spans="1:56">
      <c r="A168" s="4">
        <v>44570</v>
      </c>
      <c r="B168">
        <v>41.7089</v>
      </c>
      <c r="D168">
        <v>80.739599999999996</v>
      </c>
      <c r="J168">
        <v>52.721699999999998</v>
      </c>
      <c r="K168" s="10">
        <v>20.336300000000001</v>
      </c>
      <c r="L168">
        <v>16.485800000000001</v>
      </c>
      <c r="N168">
        <v>13.7742</v>
      </c>
      <c r="O168">
        <v>20.184200000000001</v>
      </c>
      <c r="P168" s="10">
        <v>40.609200000000001</v>
      </c>
      <c r="Q168" s="10">
        <v>28.5121</v>
      </c>
      <c r="R168" s="10"/>
      <c r="S168" s="10">
        <v>95.425899999999999</v>
      </c>
      <c r="T168" s="10"/>
      <c r="U168" s="10"/>
      <c r="V168" s="10"/>
      <c r="W168" s="10"/>
      <c r="X168" s="10"/>
      <c r="Y168" s="10"/>
      <c r="Z168" s="10"/>
      <c r="AA168" s="10">
        <v>25.1404</v>
      </c>
      <c r="AB168" s="10"/>
      <c r="AC168" s="10">
        <v>12.9245</v>
      </c>
      <c r="AD168" s="10">
        <v>11.3466</v>
      </c>
      <c r="AE168" s="10">
        <v>15.638999999999999</v>
      </c>
      <c r="AF168" s="10">
        <v>15.692399999999999</v>
      </c>
      <c r="AG168" s="10"/>
      <c r="AH168" s="10">
        <v>13.7477</v>
      </c>
      <c r="AI168" s="10">
        <v>19.808399999999999</v>
      </c>
      <c r="AJ168" s="10"/>
      <c r="AK168" s="10">
        <v>29.2835</v>
      </c>
      <c r="AL168" s="10">
        <v>17.053999999999998</v>
      </c>
      <c r="AM168" s="10"/>
      <c r="AN168" s="10"/>
      <c r="AO168" s="10">
        <v>8.1288</v>
      </c>
      <c r="AP168" s="10">
        <v>8.9685000000000006</v>
      </c>
      <c r="AQ168" s="10"/>
      <c r="AR168" s="10"/>
      <c r="AS168" s="10"/>
      <c r="AT168" s="10"/>
      <c r="AU168" s="10"/>
      <c r="AV168" s="10"/>
      <c r="AY168">
        <v>16.616299999999999</v>
      </c>
    </row>
    <row r="169" spans="1:56">
      <c r="A169" s="4">
        <v>44576</v>
      </c>
      <c r="B169">
        <v>41.918100000000003</v>
      </c>
      <c r="D169">
        <v>81.178100000000001</v>
      </c>
      <c r="J169">
        <v>52.866700000000002</v>
      </c>
      <c r="K169" s="10">
        <v>20.484300000000001</v>
      </c>
      <c r="L169">
        <v>16.771000000000001</v>
      </c>
      <c r="N169">
        <v>14.0953</v>
      </c>
      <c r="O169">
        <v>15.5497</v>
      </c>
      <c r="P169" s="10">
        <v>40.813499999999998</v>
      </c>
      <c r="Q169" s="10">
        <v>28.637499999999999</v>
      </c>
      <c r="R169" s="10"/>
      <c r="S169" s="10">
        <v>95.858599999999996</v>
      </c>
      <c r="T169" s="10"/>
      <c r="U169" s="10"/>
      <c r="V169" s="10"/>
      <c r="W169" s="10"/>
      <c r="X169" s="10"/>
      <c r="Y169" s="10"/>
      <c r="Z169" s="10"/>
      <c r="AA169" s="10">
        <v>24.706</v>
      </c>
      <c r="AB169" s="10"/>
      <c r="AC169" s="10">
        <v>12.9377</v>
      </c>
      <c r="AD169" s="10">
        <v>11.2515</v>
      </c>
      <c r="AE169" s="10">
        <v>15.1225</v>
      </c>
      <c r="AF169" s="10">
        <v>15.185700000000001</v>
      </c>
      <c r="AG169" s="10"/>
      <c r="AH169" s="10">
        <v>13.4411</v>
      </c>
      <c r="AI169" s="10">
        <v>20.010999999999999</v>
      </c>
      <c r="AJ169" s="10"/>
      <c r="AK169" s="10">
        <v>29.374500000000001</v>
      </c>
      <c r="AL169" s="10">
        <v>17.203299999999999</v>
      </c>
      <c r="AM169" s="10"/>
      <c r="AN169" s="10"/>
      <c r="AO169" s="10">
        <v>8.4483999999999995</v>
      </c>
      <c r="AP169" s="10">
        <v>9.1220999999999997</v>
      </c>
      <c r="AQ169" s="10"/>
      <c r="AR169" s="10"/>
      <c r="AS169" s="10"/>
      <c r="AT169" s="10"/>
      <c r="AU169" s="10"/>
      <c r="AV169" s="10"/>
      <c r="AY169">
        <v>16.704899999999999</v>
      </c>
    </row>
    <row r="170" spans="1:56">
      <c r="A170" s="4">
        <v>44583</v>
      </c>
      <c r="B170">
        <v>41.4011</v>
      </c>
      <c r="D170">
        <v>80.249200000000002</v>
      </c>
      <c r="J170">
        <v>51.883699999999997</v>
      </c>
      <c r="K170" s="10">
        <v>20.199000000000002</v>
      </c>
      <c r="L170">
        <v>15.7654</v>
      </c>
      <c r="N170">
        <v>14.201700000000001</v>
      </c>
      <c r="O170">
        <v>18.5685</v>
      </c>
      <c r="P170" s="10">
        <v>40.491799999999998</v>
      </c>
      <c r="Q170" s="10">
        <v>28.474499999999999</v>
      </c>
      <c r="R170" s="10"/>
      <c r="S170" s="10">
        <v>94.981999999999999</v>
      </c>
      <c r="T170" s="10"/>
      <c r="U170" s="10"/>
      <c r="V170" s="10"/>
      <c r="W170" s="10"/>
      <c r="X170" s="10"/>
      <c r="Y170" s="10"/>
      <c r="Z170" s="10"/>
      <c r="AA170" s="10">
        <v>23.659400000000002</v>
      </c>
      <c r="AB170" s="10"/>
      <c r="AC170" s="10">
        <v>12.533300000000001</v>
      </c>
      <c r="AD170" s="10">
        <v>10.4747</v>
      </c>
      <c r="AE170" s="10">
        <v>14.4994</v>
      </c>
      <c r="AF170" s="10">
        <v>15.015599999999999</v>
      </c>
      <c r="AG170" s="10"/>
      <c r="AH170" s="10">
        <v>13.786</v>
      </c>
      <c r="AI170" s="10">
        <v>19.6128</v>
      </c>
      <c r="AJ170" s="10"/>
      <c r="AK170" s="10">
        <v>29.2438</v>
      </c>
      <c r="AL170" s="10">
        <v>16.9849</v>
      </c>
      <c r="AM170" s="10"/>
      <c r="AN170" s="10"/>
      <c r="AO170" s="10">
        <v>8.6257999999999999</v>
      </c>
      <c r="AP170" s="10">
        <v>8.4913000000000007</v>
      </c>
      <c r="AQ170" s="10"/>
      <c r="AR170" s="10"/>
      <c r="AS170" s="10"/>
      <c r="AT170" s="10"/>
      <c r="AU170" s="10"/>
      <c r="AV170" s="10"/>
      <c r="AY170">
        <v>15.3042</v>
      </c>
    </row>
    <row r="171" spans="1:56">
      <c r="A171" s="4">
        <v>44590</v>
      </c>
      <c r="B171">
        <v>41.425800000000002</v>
      </c>
      <c r="D171">
        <v>80.319800000000001</v>
      </c>
      <c r="J171">
        <v>51.617699999999999</v>
      </c>
      <c r="K171" s="10">
        <v>20.214400000000001</v>
      </c>
      <c r="L171">
        <v>14.2753</v>
      </c>
      <c r="N171">
        <v>13.633100000000001</v>
      </c>
      <c r="O171">
        <v>17.465900000000001</v>
      </c>
      <c r="P171" s="10">
        <v>40.303899999999999</v>
      </c>
      <c r="Q171" s="10">
        <v>28.396000000000001</v>
      </c>
      <c r="R171" s="10"/>
      <c r="S171" s="10">
        <v>94.573999999999998</v>
      </c>
      <c r="T171" s="10"/>
      <c r="U171" s="10"/>
      <c r="V171" s="10"/>
      <c r="W171" s="10"/>
      <c r="X171" s="10"/>
      <c r="Y171" s="10"/>
      <c r="Z171" s="10"/>
      <c r="AA171" s="10">
        <v>22.3474</v>
      </c>
      <c r="AB171" s="10"/>
      <c r="AC171" s="10">
        <v>12.0709</v>
      </c>
      <c r="AD171" s="10">
        <v>9.8897999999999993</v>
      </c>
      <c r="AE171" s="10">
        <v>13.6891</v>
      </c>
      <c r="AF171" s="10">
        <v>15.302099999999999</v>
      </c>
      <c r="AG171" s="10"/>
      <c r="AH171" s="10">
        <v>13.0642</v>
      </c>
      <c r="AI171" s="10">
        <v>19.197299999999998</v>
      </c>
      <c r="AJ171" s="10"/>
      <c r="AK171" s="10">
        <v>29.2697</v>
      </c>
      <c r="AL171" s="10">
        <v>17.001999999999999</v>
      </c>
      <c r="AM171" s="10"/>
      <c r="AN171" s="10"/>
      <c r="AO171" s="10">
        <v>8.0464000000000002</v>
      </c>
      <c r="AP171" s="10">
        <v>7.5894000000000004</v>
      </c>
      <c r="AQ171" s="10"/>
      <c r="AR171" s="10"/>
      <c r="AS171" s="10"/>
      <c r="AT171" s="10"/>
      <c r="AU171" s="10"/>
      <c r="AV171" s="10"/>
      <c r="AY171">
        <v>13.968999999999999</v>
      </c>
    </row>
    <row r="172" spans="1:56">
      <c r="A172" s="4">
        <v>44597</v>
      </c>
      <c r="B172">
        <v>41.968000000000004</v>
      </c>
      <c r="D172">
        <v>81.397800000000004</v>
      </c>
      <c r="J172">
        <v>52.353999999999999</v>
      </c>
      <c r="K172" s="10">
        <v>20.5215</v>
      </c>
      <c r="L172">
        <v>14.382300000000001</v>
      </c>
      <c r="N172">
        <v>13.593</v>
      </c>
      <c r="O172">
        <v>18.011099999999999</v>
      </c>
      <c r="P172" s="10">
        <v>40.8857</v>
      </c>
      <c r="Q172" s="10">
        <v>28.684899999999999</v>
      </c>
      <c r="R172" s="10"/>
      <c r="S172" s="10">
        <v>96.053700000000006</v>
      </c>
      <c r="T172" s="10"/>
      <c r="U172" s="10"/>
      <c r="V172" s="10"/>
      <c r="W172" s="10"/>
      <c r="X172" s="10"/>
      <c r="Y172" s="10"/>
      <c r="Z172" s="10"/>
      <c r="AA172" s="10">
        <v>23.154599999999999</v>
      </c>
      <c r="AB172" s="10"/>
      <c r="AC172" s="10">
        <v>12.443</v>
      </c>
      <c r="AD172" s="10">
        <v>10.0922</v>
      </c>
      <c r="AE172" s="10">
        <v>13.8748</v>
      </c>
      <c r="AF172" s="10">
        <v>15.302099999999999</v>
      </c>
      <c r="AG172" s="10"/>
      <c r="AH172" s="10">
        <v>13.0642</v>
      </c>
      <c r="AI172" s="10">
        <v>19.561599999999999</v>
      </c>
      <c r="AJ172" s="10"/>
      <c r="AK172" s="10">
        <v>29.434799999999999</v>
      </c>
      <c r="AL172" s="10">
        <v>17.285299999999999</v>
      </c>
      <c r="AM172" s="10"/>
      <c r="AN172" s="10"/>
      <c r="AO172" s="10">
        <v>8.0495000000000001</v>
      </c>
      <c r="AP172" s="10">
        <v>7.5757000000000003</v>
      </c>
      <c r="AQ172" s="10"/>
      <c r="AR172" s="10"/>
      <c r="AS172" s="10"/>
      <c r="AT172" s="10"/>
      <c r="AU172" s="10"/>
      <c r="AV172" s="10"/>
      <c r="AY172">
        <v>14.323700000000001</v>
      </c>
    </row>
    <row r="173" spans="1:56">
      <c r="A173" s="4">
        <v>44604</v>
      </c>
      <c r="B173">
        <v>42.787199999999999</v>
      </c>
      <c r="D173">
        <v>83.087800000000001</v>
      </c>
      <c r="J173">
        <v>53.4315</v>
      </c>
      <c r="K173" s="10">
        <v>21.004100000000001</v>
      </c>
      <c r="L173">
        <v>15.8248</v>
      </c>
      <c r="N173">
        <v>14.055899999999999</v>
      </c>
      <c r="O173">
        <v>17.674600000000002</v>
      </c>
      <c r="P173" s="10">
        <v>41.447000000000003</v>
      </c>
      <c r="Q173" s="10">
        <v>29.0092</v>
      </c>
      <c r="R173" s="10"/>
      <c r="S173" s="10">
        <v>97.3249</v>
      </c>
      <c r="T173" s="10"/>
      <c r="U173" s="10"/>
      <c r="V173" s="10"/>
      <c r="W173" s="10"/>
      <c r="X173" s="10"/>
      <c r="Y173" s="10"/>
      <c r="Z173" s="10"/>
      <c r="AA173" s="10">
        <v>23.4452</v>
      </c>
      <c r="AB173" s="10"/>
      <c r="AC173" s="10">
        <v>12.563700000000001</v>
      </c>
      <c r="AD173" s="10">
        <v>10.3217</v>
      </c>
      <c r="AE173" s="10">
        <v>13.636699999999999</v>
      </c>
      <c r="AF173" s="10">
        <v>15.239699999999999</v>
      </c>
      <c r="AG173" s="10"/>
      <c r="AH173" s="10">
        <v>13.4108</v>
      </c>
      <c r="AI173" s="10">
        <v>19.085999999999999</v>
      </c>
      <c r="AJ173" s="10"/>
      <c r="AK173" s="10">
        <v>29.563600000000001</v>
      </c>
      <c r="AL173" s="10">
        <v>17.6754</v>
      </c>
      <c r="AM173" s="10"/>
      <c r="AN173" s="10"/>
      <c r="AO173" s="10">
        <v>8.2019000000000002</v>
      </c>
      <c r="AP173" s="10">
        <v>8.5442</v>
      </c>
      <c r="AQ173" s="10"/>
      <c r="AR173" s="10"/>
      <c r="AS173" s="10"/>
      <c r="AT173" s="10"/>
      <c r="AU173" s="10"/>
      <c r="AV173" s="10"/>
      <c r="AY173">
        <v>15.4092</v>
      </c>
      <c r="BA173">
        <v>24.764600000000002</v>
      </c>
      <c r="BB173">
        <v>15.272600000000001</v>
      </c>
      <c r="BD173">
        <v>13.9695</v>
      </c>
    </row>
    <row r="174" spans="1:56">
      <c r="A174" s="4">
        <v>44611</v>
      </c>
      <c r="B174">
        <v>43.148499999999999</v>
      </c>
      <c r="D174">
        <v>83.755899999999997</v>
      </c>
      <c r="J174">
        <v>53.584899999999998</v>
      </c>
      <c r="K174" s="10">
        <v>21.168099999999999</v>
      </c>
      <c r="L174">
        <v>14.827299999999999</v>
      </c>
      <c r="N174">
        <v>13.9963</v>
      </c>
      <c r="O174">
        <v>17.1831</v>
      </c>
      <c r="P174" s="10">
        <v>41.865299999999998</v>
      </c>
      <c r="Q174" s="10">
        <v>29.198899999999998</v>
      </c>
      <c r="R174" s="10"/>
      <c r="S174" s="10">
        <v>98.4084</v>
      </c>
      <c r="T174" s="10"/>
      <c r="U174" s="10"/>
      <c r="V174" s="10"/>
      <c r="W174" s="10"/>
      <c r="X174" s="10"/>
      <c r="Y174" s="10"/>
      <c r="Z174" s="10"/>
      <c r="AA174" s="10">
        <v>22.604099999999999</v>
      </c>
      <c r="AB174" s="10"/>
      <c r="AC174" s="10">
        <v>12.2774</v>
      </c>
      <c r="AD174" s="10">
        <v>9.9953000000000003</v>
      </c>
      <c r="AE174" s="10">
        <v>13.357699999999999</v>
      </c>
      <c r="AF174" s="10">
        <v>14.8658</v>
      </c>
      <c r="AG174" s="10"/>
      <c r="AH174" s="10">
        <v>13.4383</v>
      </c>
      <c r="AI174" s="10">
        <v>19.473500000000001</v>
      </c>
      <c r="AJ174" s="10"/>
      <c r="AK174" s="10">
        <v>29.700700000000001</v>
      </c>
      <c r="AL174" s="10">
        <v>17.828700000000001</v>
      </c>
      <c r="AM174" s="10"/>
      <c r="AN174" s="10"/>
      <c r="AO174" s="10">
        <v>8.1776</v>
      </c>
      <c r="AP174" s="10">
        <v>7.9515000000000002</v>
      </c>
      <c r="AQ174" s="10"/>
      <c r="AR174" s="10"/>
      <c r="AS174" s="10">
        <v>22.569800000000001</v>
      </c>
      <c r="AT174" s="10"/>
      <c r="AU174" s="10"/>
      <c r="AV174" s="10"/>
      <c r="AY174">
        <v>14.3271</v>
      </c>
      <c r="BA174">
        <v>23.9511</v>
      </c>
      <c r="BB174">
        <v>14.773999999999999</v>
      </c>
      <c r="BD174">
        <v>13.7202</v>
      </c>
    </row>
    <row r="175" spans="1:56">
      <c r="A175" s="4">
        <v>44618</v>
      </c>
      <c r="B175">
        <v>42.655900000000003</v>
      </c>
      <c r="D175">
        <v>82.733000000000004</v>
      </c>
      <c r="J175">
        <v>52.383400000000002</v>
      </c>
      <c r="K175" s="10">
        <v>20.700399999999998</v>
      </c>
      <c r="L175">
        <v>13.0344</v>
      </c>
      <c r="N175">
        <v>13.215400000000001</v>
      </c>
      <c r="O175">
        <v>15.9396</v>
      </c>
      <c r="P175" s="10">
        <v>41.4024</v>
      </c>
      <c r="Q175" s="10">
        <v>29.917100000000001</v>
      </c>
      <c r="R175" s="10"/>
      <c r="S175" s="10">
        <v>97.360699999999994</v>
      </c>
      <c r="T175" s="10"/>
      <c r="U175" s="10"/>
      <c r="V175" s="10"/>
      <c r="W175" s="10"/>
      <c r="X175" s="10"/>
      <c r="Y175" s="10"/>
      <c r="Z175" s="10"/>
      <c r="AA175" s="10">
        <v>22.297999999999998</v>
      </c>
      <c r="AB175" s="10"/>
      <c r="AC175" s="10">
        <v>11.9405</v>
      </c>
      <c r="AD175" s="10">
        <v>9.0759000000000007</v>
      </c>
      <c r="AE175" s="10">
        <v>12.4314</v>
      </c>
      <c r="AF175" s="10">
        <v>14.977600000000001</v>
      </c>
      <c r="AG175" s="10"/>
      <c r="AH175" s="10">
        <v>13.0261</v>
      </c>
      <c r="AI175" s="10">
        <v>19.378399999999999</v>
      </c>
      <c r="AJ175" s="10"/>
      <c r="AK175" s="10">
        <v>29.437999999999999</v>
      </c>
      <c r="AL175" s="10">
        <v>17.4177</v>
      </c>
      <c r="AM175" s="10"/>
      <c r="AN175" s="10"/>
      <c r="AO175" s="10">
        <v>7.5594000000000001</v>
      </c>
      <c r="AP175" s="10">
        <v>7.0179999999999998</v>
      </c>
      <c r="AQ175" s="10"/>
      <c r="AR175" s="10"/>
      <c r="AS175" s="10">
        <v>22.3842</v>
      </c>
      <c r="AT175" s="10"/>
      <c r="AU175" s="10"/>
      <c r="AV175" s="10"/>
      <c r="AY175">
        <v>14.1182</v>
      </c>
      <c r="BA175">
        <v>24.148</v>
      </c>
      <c r="BB175">
        <v>14.8935</v>
      </c>
      <c r="BD175">
        <v>13.511900000000001</v>
      </c>
    </row>
    <row r="176" spans="1:56">
      <c r="A176" s="4">
        <v>44625</v>
      </c>
      <c r="B176">
        <v>42.701900000000002</v>
      </c>
      <c r="D176">
        <v>82.924300000000002</v>
      </c>
      <c r="J176">
        <v>52.710599999999999</v>
      </c>
      <c r="K176" s="10">
        <v>20.732700000000001</v>
      </c>
      <c r="L176">
        <v>13.7057</v>
      </c>
      <c r="N176">
        <v>13.1471</v>
      </c>
      <c r="O176">
        <v>16.471699999999998</v>
      </c>
      <c r="P176" s="10">
        <v>41.304400000000001</v>
      </c>
      <c r="Q176" s="10">
        <v>28.8598</v>
      </c>
      <c r="R176" s="10"/>
      <c r="S176" s="10">
        <v>97.106399999999994</v>
      </c>
      <c r="T176" s="10"/>
      <c r="U176" s="10"/>
      <c r="V176" s="10"/>
      <c r="W176" s="10"/>
      <c r="X176" s="10"/>
      <c r="Y176" s="10"/>
      <c r="Z176" s="10"/>
      <c r="AA176" s="10">
        <v>22.159199999999998</v>
      </c>
      <c r="AB176" s="10"/>
      <c r="AC176" s="10">
        <v>11.96</v>
      </c>
      <c r="AD176" s="10">
        <v>9.8653999999999993</v>
      </c>
      <c r="AE176" s="10">
        <v>12.8742</v>
      </c>
      <c r="AF176" s="10">
        <v>14.967700000000001</v>
      </c>
      <c r="AG176" s="10"/>
      <c r="AH176" s="10">
        <v>12.7362</v>
      </c>
      <c r="AI176" s="10">
        <v>19.392099999999999</v>
      </c>
      <c r="AJ176" s="10"/>
      <c r="AK176" s="10">
        <v>29.439900000000002</v>
      </c>
      <c r="AL176" s="10">
        <v>17.177800000000001</v>
      </c>
      <c r="AM176" s="10"/>
      <c r="AN176" s="10"/>
      <c r="AO176" s="10">
        <v>7.4499000000000004</v>
      </c>
      <c r="AP176" s="10">
        <v>7.3483000000000001</v>
      </c>
      <c r="AQ176" s="10"/>
      <c r="AR176" s="10"/>
      <c r="AS176" s="10">
        <v>22.538799999999998</v>
      </c>
      <c r="AT176" s="10"/>
      <c r="AU176" s="10"/>
      <c r="AV176" s="10"/>
      <c r="AY176">
        <v>14.440799999999999</v>
      </c>
      <c r="BA176">
        <v>24.039899999999999</v>
      </c>
      <c r="BB176">
        <v>14.7049</v>
      </c>
      <c r="BD176">
        <v>12.5875</v>
      </c>
    </row>
    <row r="177" spans="1:58">
      <c r="A177" s="4">
        <v>44632</v>
      </c>
      <c r="B177">
        <v>42.549900000000001</v>
      </c>
      <c r="D177">
        <v>82.603200000000001</v>
      </c>
      <c r="J177">
        <v>52.676499999999997</v>
      </c>
      <c r="K177" s="10">
        <v>20.650200000000002</v>
      </c>
      <c r="L177">
        <v>12.4415</v>
      </c>
      <c r="N177">
        <v>12.246700000000001</v>
      </c>
      <c r="O177">
        <v>15.9155</v>
      </c>
      <c r="P177" s="10">
        <v>42.096499999999999</v>
      </c>
      <c r="Q177" s="10">
        <v>28.773299999999999</v>
      </c>
      <c r="R177" s="10"/>
      <c r="S177" s="10">
        <v>96.556299999999993</v>
      </c>
      <c r="T177" s="10"/>
      <c r="U177" s="10"/>
      <c r="V177" s="10"/>
      <c r="W177" s="10"/>
      <c r="X177" s="10"/>
      <c r="Y177" s="10"/>
      <c r="Z177" s="10"/>
      <c r="AA177" s="10">
        <v>21.500599999999999</v>
      </c>
      <c r="AB177" s="10"/>
      <c r="AC177" s="10">
        <v>11.6828</v>
      </c>
      <c r="AD177" s="10">
        <v>9.6731999999999996</v>
      </c>
      <c r="AE177" s="10">
        <v>12.420299999999999</v>
      </c>
      <c r="AF177" s="10">
        <v>14.698600000000001</v>
      </c>
      <c r="AG177" s="10"/>
      <c r="AH177" s="10">
        <v>12.2515</v>
      </c>
      <c r="AI177" s="10">
        <v>19.331299999999999</v>
      </c>
      <c r="AJ177" s="10"/>
      <c r="AK177" s="10">
        <v>29.349799999999998</v>
      </c>
      <c r="AL177" s="10">
        <v>17.071000000000002</v>
      </c>
      <c r="AM177" s="10"/>
      <c r="AN177" s="10"/>
      <c r="AO177" s="10">
        <v>6.8417000000000003</v>
      </c>
      <c r="AP177" s="10">
        <v>6.6993</v>
      </c>
      <c r="AQ177" s="10"/>
      <c r="AR177" s="10"/>
      <c r="AS177" s="10">
        <v>22.640899999999998</v>
      </c>
      <c r="AT177" s="10"/>
      <c r="AU177" s="10"/>
      <c r="AV177" s="10"/>
      <c r="AY177">
        <v>13.2492</v>
      </c>
      <c r="BA177">
        <v>23.2361</v>
      </c>
      <c r="BB177">
        <v>14.324</v>
      </c>
      <c r="BD177">
        <v>12.8931</v>
      </c>
    </row>
    <row r="178" spans="1:58">
      <c r="A178" s="4">
        <v>44639</v>
      </c>
      <c r="B178">
        <v>43.017000000000003</v>
      </c>
      <c r="D178">
        <v>83.515500000000003</v>
      </c>
      <c r="J178">
        <v>53.040999999999997</v>
      </c>
      <c r="K178" s="10">
        <v>20.863399999999999</v>
      </c>
      <c r="L178">
        <v>12.7982</v>
      </c>
      <c r="N178">
        <v>11.5052</v>
      </c>
      <c r="O178">
        <v>17.1129</v>
      </c>
      <c r="P178" s="10">
        <v>41.517499999999998</v>
      </c>
      <c r="Q178" s="10">
        <v>28.992699999999999</v>
      </c>
      <c r="R178" s="10"/>
      <c r="S178" s="10">
        <v>97.567400000000006</v>
      </c>
      <c r="T178" s="10"/>
      <c r="U178" s="10"/>
      <c r="V178" s="10"/>
      <c r="W178" s="10"/>
      <c r="X178" s="10"/>
      <c r="Y178" s="10"/>
      <c r="Z178" s="10"/>
      <c r="AA178" s="10">
        <v>22.3553</v>
      </c>
      <c r="AB178" s="10"/>
      <c r="AC178" s="10">
        <v>12.1469</v>
      </c>
      <c r="AD178" s="10">
        <v>9.9962</v>
      </c>
      <c r="AE178" s="10">
        <v>13.291700000000001</v>
      </c>
      <c r="AF178" s="10">
        <v>14.6622</v>
      </c>
      <c r="AG178" s="10"/>
      <c r="AH178" s="10">
        <v>12.1655</v>
      </c>
      <c r="AI178" s="10">
        <v>19.741599999999998</v>
      </c>
      <c r="AJ178" s="10"/>
      <c r="AK178" s="10">
        <v>29.558700000000002</v>
      </c>
      <c r="AL178" s="10">
        <v>17.272600000000001</v>
      </c>
      <c r="AM178" s="10"/>
      <c r="AN178" s="10"/>
      <c r="AO178" s="10">
        <v>6.8764000000000003</v>
      </c>
      <c r="AP178" s="10">
        <v>6.8517000000000001</v>
      </c>
      <c r="AQ178" s="10"/>
      <c r="AR178" s="10"/>
      <c r="AS178" s="10">
        <v>22.670300000000001</v>
      </c>
      <c r="AT178" s="10"/>
      <c r="AU178" s="10"/>
      <c r="AV178" s="10"/>
      <c r="AY178">
        <v>14.0075</v>
      </c>
      <c r="BA178">
        <v>24.645499999999998</v>
      </c>
      <c r="BB178">
        <v>15.189399999999999</v>
      </c>
      <c r="BD178">
        <v>13.6099</v>
      </c>
    </row>
    <row r="179" spans="1:58">
      <c r="A179" s="4">
        <v>44646</v>
      </c>
      <c r="B179">
        <v>42.710500000000003</v>
      </c>
      <c r="D179">
        <v>82.944199999999995</v>
      </c>
      <c r="J179">
        <v>52.797400000000003</v>
      </c>
      <c r="K179" s="10">
        <v>20.748999999999999</v>
      </c>
      <c r="L179">
        <v>13.6723</v>
      </c>
      <c r="N179">
        <v>12.337199999999999</v>
      </c>
      <c r="O179">
        <v>17.148599999999998</v>
      </c>
      <c r="P179" s="10">
        <v>41.3035</v>
      </c>
      <c r="Q179" s="10">
        <v>28.8748</v>
      </c>
      <c r="R179" s="10"/>
      <c r="S179" s="10">
        <v>96.939300000000003</v>
      </c>
      <c r="T179" s="10"/>
      <c r="U179" s="10"/>
      <c r="V179" s="10"/>
      <c r="W179" s="10"/>
      <c r="X179" s="10"/>
      <c r="Y179" s="10"/>
      <c r="Z179" s="10"/>
      <c r="AA179" s="10">
        <v>23.3919</v>
      </c>
      <c r="AB179" s="10"/>
      <c r="AC179" s="10">
        <v>12.406000000000001</v>
      </c>
      <c r="AD179" s="10">
        <v>10.446199999999999</v>
      </c>
      <c r="AE179" s="10">
        <v>13.2905</v>
      </c>
      <c r="AF179" s="10">
        <v>14.9877</v>
      </c>
      <c r="AG179" s="10"/>
      <c r="AH179" s="10">
        <v>11.991400000000001</v>
      </c>
      <c r="AI179" s="10">
        <v>19.5365</v>
      </c>
      <c r="AJ179" s="10"/>
      <c r="AK179" s="10">
        <v>29.393699999999999</v>
      </c>
      <c r="AL179" s="10">
        <v>17.1203</v>
      </c>
      <c r="AM179" s="10"/>
      <c r="AN179" s="10"/>
      <c r="AO179" s="10">
        <v>6.9431000000000003</v>
      </c>
      <c r="AP179" s="10">
        <v>7.3023999999999996</v>
      </c>
      <c r="AQ179" s="10"/>
      <c r="AR179" s="10"/>
      <c r="AS179" s="10">
        <v>22.772500000000001</v>
      </c>
      <c r="AT179" s="10"/>
      <c r="AU179" s="10"/>
      <c r="AV179" s="10"/>
      <c r="AY179">
        <v>14.7889</v>
      </c>
      <c r="BA179">
        <v>25.6112</v>
      </c>
      <c r="BB179">
        <v>15.4809</v>
      </c>
      <c r="BD179">
        <v>13.557600000000001</v>
      </c>
    </row>
    <row r="180" spans="1:58">
      <c r="A180" s="4">
        <v>44653</v>
      </c>
      <c r="B180">
        <v>43.414900000000003</v>
      </c>
      <c r="D180">
        <v>84.338099999999997</v>
      </c>
      <c r="J180">
        <v>53.5197</v>
      </c>
      <c r="K180" s="10">
        <v>21.066600000000001</v>
      </c>
      <c r="L180">
        <v>14.164199999999999</v>
      </c>
      <c r="N180">
        <v>12.174300000000001</v>
      </c>
      <c r="O180">
        <v>17.4099</v>
      </c>
      <c r="P180" s="10">
        <v>42.1066</v>
      </c>
      <c r="Q180" s="10">
        <v>29.318100000000001</v>
      </c>
      <c r="R180" s="10"/>
      <c r="S180" s="10">
        <v>98.784099999999995</v>
      </c>
      <c r="T180" s="10"/>
      <c r="U180" s="10"/>
      <c r="V180" s="10"/>
      <c r="W180" s="10"/>
      <c r="X180" s="10"/>
      <c r="Y180" s="10"/>
      <c r="Z180" s="10"/>
      <c r="AA180" s="10">
        <v>23.563800000000001</v>
      </c>
      <c r="AB180" s="10"/>
      <c r="AC180" s="10">
        <v>12.3955</v>
      </c>
      <c r="AD180" s="10">
        <v>10.794600000000001</v>
      </c>
      <c r="AE180" s="10">
        <v>13.4613</v>
      </c>
      <c r="AF180" s="10">
        <v>15.578200000000001</v>
      </c>
      <c r="AG180" s="10"/>
      <c r="AH180" s="10">
        <v>12.365500000000001</v>
      </c>
      <c r="AI180" s="10">
        <v>19.889700000000001</v>
      </c>
      <c r="AJ180" s="10"/>
      <c r="AK180" s="10">
        <v>29.6464</v>
      </c>
      <c r="AL180" s="10">
        <v>17.419899999999998</v>
      </c>
      <c r="AM180" s="10"/>
      <c r="AN180" s="10"/>
      <c r="AO180">
        <v>6.8844000000000003</v>
      </c>
      <c r="AP180" s="10">
        <v>7.5890000000000004</v>
      </c>
      <c r="AQ180" s="10"/>
      <c r="AR180" s="10"/>
      <c r="AS180" s="10">
        <v>22.867000000000001</v>
      </c>
      <c r="AT180" s="10"/>
      <c r="AU180" s="10"/>
      <c r="AV180" s="10"/>
      <c r="AY180">
        <v>14.7997</v>
      </c>
      <c r="BA180">
        <v>25.019200000000001</v>
      </c>
      <c r="BB180">
        <v>15.48</v>
      </c>
      <c r="BD180">
        <v>13.7094</v>
      </c>
    </row>
    <row r="181" spans="1:58">
      <c r="A181" s="4">
        <v>44661</v>
      </c>
      <c r="B181">
        <v>42.833799999999997</v>
      </c>
      <c r="D181">
        <v>83.2483</v>
      </c>
      <c r="J181">
        <v>52.8157</v>
      </c>
      <c r="K181" s="10">
        <v>20.780100000000001</v>
      </c>
      <c r="L181">
        <v>13.610200000000001</v>
      </c>
      <c r="N181">
        <v>11.837400000000001</v>
      </c>
      <c r="O181">
        <v>16.957100000000001</v>
      </c>
      <c r="P181" s="10">
        <v>41.700099999999999</v>
      </c>
      <c r="Q181" s="10">
        <v>29.127400000000002</v>
      </c>
      <c r="R181" s="10"/>
      <c r="S181" s="10">
        <v>97.816400000000002</v>
      </c>
      <c r="T181" s="10"/>
      <c r="U181" s="10"/>
      <c r="V181" s="10"/>
      <c r="W181" s="10"/>
      <c r="X181" s="10"/>
      <c r="Y181" s="10"/>
      <c r="Z181" s="10"/>
      <c r="AA181" s="10">
        <v>23.0306</v>
      </c>
      <c r="AB181" s="10"/>
      <c r="AC181" s="10">
        <v>12.304399999999999</v>
      </c>
      <c r="AD181" s="10">
        <v>10.5121</v>
      </c>
      <c r="AE181" s="10">
        <v>13.223100000000001</v>
      </c>
      <c r="AF181" s="10">
        <v>15.4046</v>
      </c>
      <c r="AG181" s="10"/>
      <c r="AH181" s="10">
        <v>12.3405</v>
      </c>
      <c r="AI181" s="10">
        <v>19.7742</v>
      </c>
      <c r="AJ181" s="10"/>
      <c r="AK181" s="10">
        <v>29.537400000000002</v>
      </c>
      <c r="AL181" s="10">
        <v>17.2105</v>
      </c>
      <c r="AM181" s="10"/>
      <c r="AN181" s="10"/>
      <c r="AO181" s="10">
        <v>6.8586999999999998</v>
      </c>
      <c r="AP181" s="10">
        <v>7.3052000000000001</v>
      </c>
      <c r="AQ181" s="10"/>
      <c r="AR181" s="10"/>
      <c r="AS181" s="10">
        <v>22.645600000000002</v>
      </c>
      <c r="AT181" s="10"/>
      <c r="AU181" s="10"/>
      <c r="AV181" s="10"/>
      <c r="AY181">
        <v>14.7447</v>
      </c>
      <c r="BA181">
        <v>24.821999999999999</v>
      </c>
      <c r="BB181">
        <v>15.306800000000001</v>
      </c>
      <c r="BD181">
        <v>13.7864</v>
      </c>
    </row>
    <row r="182" spans="1:58">
      <c r="A182" s="4">
        <v>44667</v>
      </c>
      <c r="B182">
        <v>42.631999999999998</v>
      </c>
      <c r="D182">
        <v>82.839100000000002</v>
      </c>
      <c r="J182">
        <v>52.629899999999999</v>
      </c>
      <c r="K182" s="10">
        <v>20.6693</v>
      </c>
      <c r="L182">
        <v>12.8665</v>
      </c>
      <c r="N182">
        <v>11.455</v>
      </c>
      <c r="O182">
        <v>16.646000000000001</v>
      </c>
      <c r="P182" s="10">
        <v>41.636699999999998</v>
      </c>
      <c r="Q182" s="10">
        <v>29.095099999999999</v>
      </c>
      <c r="R182" s="10"/>
      <c r="S182" s="10">
        <v>97.666200000000003</v>
      </c>
      <c r="T182" s="10"/>
      <c r="U182" s="10"/>
      <c r="V182" s="10"/>
      <c r="W182" s="10"/>
      <c r="X182" s="10"/>
      <c r="Y182" s="10"/>
      <c r="Z182" s="10"/>
      <c r="AA182" s="10">
        <v>22.1876</v>
      </c>
      <c r="AB182" s="10"/>
      <c r="AC182" s="10">
        <v>12.123100000000001</v>
      </c>
      <c r="AD182" s="10">
        <v>10.4018</v>
      </c>
      <c r="AE182" s="10">
        <v>12.955500000000001</v>
      </c>
      <c r="AF182" s="10">
        <v>15.239599999999999</v>
      </c>
      <c r="AG182" s="10"/>
      <c r="AH182" s="10">
        <v>12.213200000000001</v>
      </c>
      <c r="AI182" s="10">
        <v>19.743600000000001</v>
      </c>
      <c r="AJ182" s="10"/>
      <c r="AK182" s="10">
        <v>29.452000000000002</v>
      </c>
      <c r="AL182" s="10">
        <v>17.095300000000002</v>
      </c>
      <c r="AM182" s="10"/>
      <c r="AN182" s="10"/>
      <c r="AO182" s="10">
        <v>6.5666000000000002</v>
      </c>
      <c r="AP182" s="10">
        <v>7.0461</v>
      </c>
      <c r="AQ182" s="10"/>
      <c r="AR182" s="10"/>
      <c r="AS182" s="10">
        <v>22.504300000000001</v>
      </c>
      <c r="AT182" s="10"/>
      <c r="AU182" s="10"/>
      <c r="AV182" s="10"/>
      <c r="AY182">
        <v>13.854699999999999</v>
      </c>
      <c r="BA182">
        <v>24.301500000000001</v>
      </c>
      <c r="BB182">
        <v>14.992000000000001</v>
      </c>
      <c r="BD182">
        <v>13.667400000000001</v>
      </c>
    </row>
    <row r="183" spans="1:58">
      <c r="A183" s="4">
        <v>44674</v>
      </c>
      <c r="B183">
        <v>42.889600000000002</v>
      </c>
      <c r="D183">
        <v>83.378799999999998</v>
      </c>
      <c r="J183">
        <v>53.296300000000002</v>
      </c>
      <c r="K183" s="10">
        <v>20.8871</v>
      </c>
      <c r="L183">
        <v>12.5672</v>
      </c>
      <c r="N183">
        <v>11.247999999999999</v>
      </c>
      <c r="O183">
        <v>16.937000000000001</v>
      </c>
      <c r="P183" s="10">
        <v>41.9895</v>
      </c>
      <c r="Q183" s="10">
        <v>29.283200000000001</v>
      </c>
      <c r="R183" s="10"/>
      <c r="S183" s="10">
        <v>98.416300000000007</v>
      </c>
      <c r="T183" s="10"/>
      <c r="U183" s="10"/>
      <c r="V183" s="10"/>
      <c r="W183" s="10"/>
      <c r="X183" s="10"/>
      <c r="Y183" s="10"/>
      <c r="Z183" s="10"/>
      <c r="AA183" s="10">
        <v>21.7544</v>
      </c>
      <c r="AB183" s="10"/>
      <c r="AC183" s="10">
        <v>12.005699999999999</v>
      </c>
      <c r="AD183" s="10">
        <v>10.248900000000001</v>
      </c>
      <c r="AE183" s="10">
        <v>13.1351</v>
      </c>
      <c r="AF183" s="10">
        <v>14.807700000000001</v>
      </c>
      <c r="AG183" s="10"/>
      <c r="AH183" s="10">
        <v>11.9232</v>
      </c>
      <c r="AI183" s="10">
        <v>20.1145</v>
      </c>
      <c r="AJ183" s="10"/>
      <c r="AK183" s="10">
        <v>29.497599999999998</v>
      </c>
      <c r="AL183" s="10">
        <v>17.21</v>
      </c>
      <c r="AM183" s="10"/>
      <c r="AN183" s="10"/>
      <c r="AO183" s="10">
        <v>6.2819000000000003</v>
      </c>
      <c r="AP183" s="10">
        <v>6.7885</v>
      </c>
      <c r="AQ183" s="10"/>
      <c r="AR183" s="10"/>
      <c r="AS183" s="10">
        <v>22.822099999999999</v>
      </c>
      <c r="AT183" s="10"/>
      <c r="AU183" s="10"/>
      <c r="AV183" s="10"/>
      <c r="AY183">
        <v>13.367000000000001</v>
      </c>
      <c r="BA183">
        <v>23.606000000000002</v>
      </c>
      <c r="BB183">
        <v>14.5609</v>
      </c>
      <c r="BD183">
        <v>13.573499999999999</v>
      </c>
    </row>
    <row r="184" spans="1:58">
      <c r="A184" s="4">
        <v>44681</v>
      </c>
      <c r="B184">
        <v>42.542999999999999</v>
      </c>
      <c r="D184">
        <v>82.713899999999995</v>
      </c>
      <c r="J184">
        <v>52.621299999999998</v>
      </c>
      <c r="K184" s="10">
        <v>20.625599999999999</v>
      </c>
      <c r="L184">
        <v>11.236499999999999</v>
      </c>
      <c r="N184">
        <v>10.909599999999999</v>
      </c>
      <c r="O184">
        <v>16.053599999999999</v>
      </c>
      <c r="P184" s="10">
        <v>41.880299999999998</v>
      </c>
      <c r="Q184" s="10">
        <v>29.2438</v>
      </c>
      <c r="R184" s="10"/>
      <c r="S184" s="10">
        <v>98.252399999999994</v>
      </c>
      <c r="T184" s="10"/>
      <c r="U184" s="10"/>
      <c r="V184" s="10"/>
      <c r="W184" s="10"/>
      <c r="X184" s="10"/>
      <c r="Y184" s="10"/>
      <c r="Z184" s="10"/>
      <c r="AA184" s="10">
        <v>21.378299999999999</v>
      </c>
      <c r="AB184" s="10"/>
      <c r="AC184" s="10">
        <v>11.7285</v>
      </c>
      <c r="AD184" s="10">
        <v>9.7878000000000007</v>
      </c>
      <c r="AE184" s="10">
        <v>12.5634</v>
      </c>
      <c r="AF184" s="10">
        <v>14.6045</v>
      </c>
      <c r="AG184" s="10"/>
      <c r="AH184" s="10">
        <v>11.9419</v>
      </c>
      <c r="AI184" s="10">
        <v>20.117599999999999</v>
      </c>
      <c r="AJ184" s="10"/>
      <c r="AK184" s="10">
        <v>29.367999999999999</v>
      </c>
      <c r="AL184" s="10">
        <v>17.035399999999999</v>
      </c>
      <c r="AM184" s="10"/>
      <c r="AN184" s="10"/>
      <c r="AO184" s="10">
        <v>6.2565</v>
      </c>
      <c r="AP184" s="10">
        <v>6.1077000000000004</v>
      </c>
      <c r="AQ184" s="10"/>
      <c r="AR184" s="10"/>
      <c r="AS184" s="10">
        <v>22.679200000000002</v>
      </c>
      <c r="AT184" s="10"/>
      <c r="AU184" s="10"/>
      <c r="AV184" s="10"/>
      <c r="AY184">
        <v>12.855399999999999</v>
      </c>
      <c r="BA184">
        <v>22.8047</v>
      </c>
      <c r="BB184">
        <v>14.0701</v>
      </c>
      <c r="BD184">
        <v>13.5169</v>
      </c>
    </row>
    <row r="185" spans="1:58">
      <c r="A185" s="4">
        <v>44688</v>
      </c>
      <c r="B185">
        <v>41.784799999999997</v>
      </c>
      <c r="D185">
        <v>81.230800000000002</v>
      </c>
      <c r="J185">
        <v>51.532400000000003</v>
      </c>
      <c r="K185" s="10">
        <v>20.178799999999999</v>
      </c>
      <c r="L185">
        <v>10.889699999999999</v>
      </c>
      <c r="N185">
        <v>11.203200000000001</v>
      </c>
      <c r="O185">
        <v>15.892799999999999</v>
      </c>
      <c r="P185" s="10">
        <v>41.0505</v>
      </c>
      <c r="Q185" s="10">
        <v>28.737100000000002</v>
      </c>
      <c r="R185" s="10"/>
      <c r="S185" s="10">
        <v>96.221500000000006</v>
      </c>
      <c r="T185" s="10"/>
      <c r="U185" s="10"/>
      <c r="V185" s="10"/>
      <c r="W185" s="10"/>
      <c r="X185" s="10"/>
      <c r="Y185" s="10"/>
      <c r="Z185" s="10"/>
      <c r="AA185" s="10">
        <v>20.361499999999999</v>
      </c>
      <c r="AB185" s="10"/>
      <c r="AC185" s="10">
        <v>11.3795</v>
      </c>
      <c r="AD185" s="10">
        <v>9.8696000000000002</v>
      </c>
      <c r="AE185" s="10">
        <v>12.2601</v>
      </c>
      <c r="AF185" s="10">
        <v>14.3672</v>
      </c>
      <c r="AG185" s="10"/>
      <c r="AH185" s="10">
        <v>11.426</v>
      </c>
      <c r="AI185" s="10">
        <v>19.39</v>
      </c>
      <c r="AJ185" s="10"/>
      <c r="AK185" s="10">
        <v>28.9968</v>
      </c>
      <c r="AL185" s="10">
        <v>16.6861</v>
      </c>
      <c r="AM185" s="10"/>
      <c r="AN185" s="10"/>
      <c r="AO185" s="10">
        <v>6.4786000000000001</v>
      </c>
      <c r="AP185" s="10">
        <v>5.9340000000000002</v>
      </c>
      <c r="AQ185" s="10"/>
      <c r="AR185" s="10"/>
      <c r="AS185" s="10">
        <v>22.328499999999998</v>
      </c>
      <c r="AT185" s="10"/>
      <c r="AU185" s="10"/>
      <c r="AV185" s="10"/>
      <c r="AY185">
        <v>11.9125</v>
      </c>
      <c r="BA185">
        <v>22.7712</v>
      </c>
      <c r="BB185">
        <v>14.05</v>
      </c>
      <c r="BD185">
        <v>12.932499999999999</v>
      </c>
    </row>
    <row r="186" spans="1:58">
      <c r="A186" s="4">
        <v>44695</v>
      </c>
      <c r="B186">
        <v>41.065899999999999</v>
      </c>
      <c r="D186">
        <v>79.729900000000001</v>
      </c>
      <c r="J186">
        <v>50.115699999999997</v>
      </c>
      <c r="K186" s="10">
        <v>19.7531</v>
      </c>
      <c r="L186">
        <v>8.5861000000000001</v>
      </c>
      <c r="N186">
        <v>10.356999999999999</v>
      </c>
      <c r="O186">
        <v>14.380100000000001</v>
      </c>
      <c r="P186" s="10">
        <v>39.988700000000001</v>
      </c>
      <c r="Q186" s="10">
        <v>28.1614</v>
      </c>
      <c r="R186" s="10"/>
      <c r="S186" s="10">
        <v>93.791200000000003</v>
      </c>
      <c r="T186" s="10"/>
      <c r="U186" s="10"/>
      <c r="V186" s="10"/>
      <c r="W186" s="10"/>
      <c r="X186" s="10"/>
      <c r="Y186" s="10"/>
      <c r="Z186" s="10"/>
      <c r="AA186" s="10">
        <v>18.936499999999999</v>
      </c>
      <c r="AB186" s="10"/>
      <c r="AC186" s="10">
        <v>10.800599999999999</v>
      </c>
      <c r="AD186" s="10">
        <v>8.5801999999999996</v>
      </c>
      <c r="AE186" s="10">
        <v>11.120699999999999</v>
      </c>
      <c r="AF186" s="10">
        <v>12.9184</v>
      </c>
      <c r="AG186" s="10"/>
      <c r="AH186" s="10">
        <v>11.6523</v>
      </c>
      <c r="AI186" s="10">
        <v>18.672499999999999</v>
      </c>
      <c r="AJ186" s="10"/>
      <c r="AK186" s="10">
        <v>28.668700000000001</v>
      </c>
      <c r="AL186" s="10">
        <v>16.354600000000001</v>
      </c>
      <c r="AM186" s="10"/>
      <c r="AN186" s="10"/>
      <c r="AO186" s="10">
        <v>6.0309999999999997</v>
      </c>
      <c r="AP186" s="10">
        <v>4.6273999999999997</v>
      </c>
      <c r="AQ186" s="10"/>
      <c r="AR186" s="10"/>
      <c r="AS186" s="10">
        <v>22.1007</v>
      </c>
      <c r="AT186" s="10"/>
      <c r="AU186" s="10"/>
      <c r="AV186" s="10"/>
      <c r="AY186">
        <v>10.781599999999999</v>
      </c>
      <c r="BA186">
        <v>22.241199999999999</v>
      </c>
      <c r="BB186">
        <v>13.716200000000001</v>
      </c>
      <c r="BD186">
        <v>13.087999999999999</v>
      </c>
    </row>
    <row r="187" spans="1:58">
      <c r="A187" s="4">
        <v>44702</v>
      </c>
      <c r="B187">
        <v>42.140500000000003</v>
      </c>
      <c r="D187">
        <v>81.852500000000006</v>
      </c>
      <c r="J187">
        <v>51.460500000000003</v>
      </c>
      <c r="K187" s="10">
        <v>20.245000000000001</v>
      </c>
      <c r="L187">
        <v>9.1677999999999997</v>
      </c>
      <c r="N187">
        <v>10.843299999999999</v>
      </c>
      <c r="O187">
        <v>14.552</v>
      </c>
      <c r="P187" s="10">
        <v>41.057099999999998</v>
      </c>
      <c r="Q187" s="10">
        <v>28.753699999999998</v>
      </c>
      <c r="R187" s="10"/>
      <c r="S187" s="10">
        <v>96.278099999999995</v>
      </c>
      <c r="T187" s="10"/>
      <c r="U187" s="10"/>
      <c r="V187" s="10"/>
      <c r="W187" s="10"/>
      <c r="X187" s="10"/>
      <c r="Y187" s="10"/>
      <c r="Z187" s="10"/>
      <c r="AA187" s="10">
        <v>18.827400000000001</v>
      </c>
      <c r="AB187" s="10"/>
      <c r="AC187" s="10">
        <v>10.9062</v>
      </c>
      <c r="AD187" s="10">
        <v>8.7194000000000003</v>
      </c>
      <c r="AE187" s="10">
        <v>11.2486</v>
      </c>
      <c r="AF187" s="10">
        <v>13.297000000000001</v>
      </c>
      <c r="AG187" s="10"/>
      <c r="AH187" s="10">
        <v>11.874599999999999</v>
      </c>
      <c r="AI187" s="10">
        <v>19.272500000000001</v>
      </c>
      <c r="AJ187" s="10"/>
      <c r="AK187" s="10">
        <v>29.098800000000001</v>
      </c>
      <c r="AL187" s="10">
        <v>16.7653</v>
      </c>
      <c r="AM187" s="10"/>
      <c r="AN187" s="10"/>
      <c r="AO187" s="10">
        <v>6.3121</v>
      </c>
      <c r="AP187" s="10">
        <v>4.9897999999999998</v>
      </c>
      <c r="AQ187" s="10"/>
      <c r="AR187" s="10"/>
      <c r="AS187" s="10">
        <v>22.5701</v>
      </c>
      <c r="AT187" s="10"/>
      <c r="AU187" s="10"/>
      <c r="AV187" s="10"/>
      <c r="AY187">
        <v>10.989100000000001</v>
      </c>
      <c r="BA187">
        <v>21.547899999999998</v>
      </c>
      <c r="BB187">
        <v>13.2919</v>
      </c>
      <c r="BD187">
        <v>13.033799999999999</v>
      </c>
      <c r="BF187" t="s">
        <v>24</v>
      </c>
    </row>
    <row r="188" spans="1:58">
      <c r="A188" s="4">
        <v>44709</v>
      </c>
      <c r="B188">
        <v>42.291699999999999</v>
      </c>
      <c r="D188">
        <v>82.183300000000003</v>
      </c>
      <c r="J188">
        <v>51.150799999999997</v>
      </c>
      <c r="K188" s="10">
        <v>20.207000000000001</v>
      </c>
      <c r="L188">
        <v>8.8412000000000006</v>
      </c>
      <c r="N188">
        <v>10.7155</v>
      </c>
      <c r="O188">
        <v>14.6934</v>
      </c>
      <c r="P188" s="10">
        <v>41.372799999999998</v>
      </c>
      <c r="Q188" s="10">
        <v>28.947500000000002</v>
      </c>
      <c r="R188" s="10"/>
      <c r="S188" s="10">
        <v>96.965000000000003</v>
      </c>
      <c r="T188" s="10"/>
      <c r="U188" s="10"/>
      <c r="V188" s="10"/>
      <c r="W188" s="10"/>
      <c r="X188" s="10"/>
      <c r="Y188" s="10"/>
      <c r="Z188" s="10"/>
      <c r="AA188" s="10">
        <v>19.4419</v>
      </c>
      <c r="AB188" s="10"/>
      <c r="AC188" s="10">
        <v>11.2669</v>
      </c>
      <c r="AD188" s="10">
        <v>8.6478000000000002</v>
      </c>
      <c r="AE188" s="10">
        <v>11.315799999999999</v>
      </c>
      <c r="AF188" s="10">
        <v>13.979900000000001</v>
      </c>
      <c r="AG188" s="10"/>
      <c r="AH188" s="10">
        <v>11.618399999999999</v>
      </c>
      <c r="AI188" s="10">
        <v>19.492599999999999</v>
      </c>
      <c r="AJ188" s="10"/>
      <c r="AK188" s="10">
        <v>29.274000000000001</v>
      </c>
      <c r="AL188" s="10">
        <v>16.903500000000001</v>
      </c>
      <c r="AM188" s="10"/>
      <c r="AN188" s="10"/>
      <c r="AO188" s="10">
        <v>6.2161999999999997</v>
      </c>
      <c r="AP188" s="10">
        <v>4.6593</v>
      </c>
      <c r="AQ188" s="10"/>
      <c r="AR188" s="10"/>
      <c r="AS188" s="10">
        <v>22.628699999999998</v>
      </c>
      <c r="AT188" s="10"/>
      <c r="AU188" s="10"/>
      <c r="AV188" s="10"/>
      <c r="AY188">
        <v>11.177199999999999</v>
      </c>
      <c r="BA188">
        <v>22.984400000000001</v>
      </c>
      <c r="BB188">
        <v>14.1584</v>
      </c>
      <c r="BD188">
        <v>13.470499999999999</v>
      </c>
    </row>
    <row r="189" spans="1:58">
      <c r="A189" s="4">
        <v>44716</v>
      </c>
      <c r="B189">
        <v>42.491999999999997</v>
      </c>
      <c r="D189">
        <v>82.574200000000005</v>
      </c>
      <c r="J189">
        <v>51.511899999999997</v>
      </c>
      <c r="K189" s="10">
        <v>20.3384</v>
      </c>
      <c r="L189">
        <v>10.0318</v>
      </c>
      <c r="N189">
        <v>11.401</v>
      </c>
      <c r="O189">
        <v>15.303699999999999</v>
      </c>
      <c r="P189" s="10">
        <v>41.596400000000003</v>
      </c>
      <c r="Q189" s="10">
        <v>29.052700000000002</v>
      </c>
      <c r="R189" s="10"/>
      <c r="S189" s="10">
        <v>97.5364</v>
      </c>
      <c r="T189" s="10"/>
      <c r="U189" s="10"/>
      <c r="V189" s="10"/>
      <c r="W189" s="10"/>
      <c r="X189" s="10"/>
      <c r="Y189" s="10"/>
      <c r="Z189" s="10"/>
      <c r="AA189" s="10">
        <v>19.586099999999998</v>
      </c>
      <c r="AB189" s="10"/>
      <c r="AC189" s="10">
        <v>11.3644</v>
      </c>
      <c r="AD189" s="10">
        <v>9.0347000000000008</v>
      </c>
      <c r="AE189" s="10">
        <v>11.739599999999999</v>
      </c>
      <c r="AF189" s="10">
        <v>14.0749</v>
      </c>
      <c r="AG189" s="10"/>
      <c r="AH189" s="10">
        <v>11.865</v>
      </c>
      <c r="AI189" s="10">
        <v>19.6694</v>
      </c>
      <c r="AJ189" s="10"/>
      <c r="AK189" s="10">
        <v>29.285799999999998</v>
      </c>
      <c r="AL189" s="10">
        <v>17.0289</v>
      </c>
      <c r="AM189" s="10"/>
      <c r="AN189" s="10"/>
      <c r="AO189" s="10">
        <v>6.7073</v>
      </c>
      <c r="AP189" s="10">
        <v>5.2058999999999997</v>
      </c>
      <c r="AQ189" s="10"/>
      <c r="AR189" s="10"/>
      <c r="AS189" s="10">
        <v>22.8614</v>
      </c>
      <c r="AT189" s="10"/>
      <c r="AU189" s="10"/>
      <c r="AV189" s="10"/>
      <c r="AY189">
        <v>11.338200000000001</v>
      </c>
      <c r="BA189">
        <v>23.099499999999999</v>
      </c>
      <c r="BB189">
        <v>14.228</v>
      </c>
      <c r="BD189">
        <v>13.398899999999999</v>
      </c>
    </row>
    <row r="190" spans="1:58">
      <c r="A190" s="4">
        <v>44723</v>
      </c>
      <c r="B190">
        <v>42.070300000000003</v>
      </c>
      <c r="D190">
        <v>81.818100000000001</v>
      </c>
      <c r="J190">
        <v>50.936599999999999</v>
      </c>
      <c r="K190" s="10">
        <v>20.156400000000001</v>
      </c>
      <c r="L190">
        <v>10.212300000000001</v>
      </c>
      <c r="N190">
        <v>11.523999999999999</v>
      </c>
      <c r="O190">
        <v>15.271699999999999</v>
      </c>
      <c r="P190" s="10">
        <v>41.177799999999998</v>
      </c>
      <c r="Q190" s="10">
        <v>28.8109</v>
      </c>
      <c r="R190" s="10"/>
      <c r="S190" s="10">
        <v>96.548299999999998</v>
      </c>
      <c r="T190" s="10"/>
      <c r="U190" s="10"/>
      <c r="V190" s="10"/>
      <c r="W190" s="10"/>
      <c r="X190" s="10"/>
      <c r="Y190" s="10"/>
      <c r="Z190" s="10"/>
      <c r="AA190" s="10">
        <v>19.155899999999999</v>
      </c>
      <c r="AB190" s="10"/>
      <c r="AC190" s="10">
        <v>11.4152</v>
      </c>
      <c r="AD190" s="10">
        <v>9.1044999999999998</v>
      </c>
      <c r="AE190" s="10">
        <v>11.8544</v>
      </c>
      <c r="AF190" s="10">
        <v>14.369400000000001</v>
      </c>
      <c r="AG190" s="10">
        <v>10.0753</v>
      </c>
      <c r="AH190" s="10">
        <v>12.1334</v>
      </c>
      <c r="AI190" s="10">
        <v>19.595099999999999</v>
      </c>
      <c r="AJ190" s="10"/>
      <c r="AK190" s="10">
        <v>29.171399999999998</v>
      </c>
      <c r="AL190" s="10">
        <v>16.8886</v>
      </c>
      <c r="AM190" s="10"/>
      <c r="AN190" s="10"/>
      <c r="AO190" s="10">
        <v>7.0475000000000003</v>
      </c>
      <c r="AP190" s="10">
        <v>5.2382999999999997</v>
      </c>
      <c r="AQ190" s="10"/>
      <c r="AR190" s="10"/>
      <c r="AS190" s="10">
        <v>22.540199999999999</v>
      </c>
      <c r="AT190" s="10"/>
      <c r="AU190" s="10"/>
      <c r="AV190" s="10"/>
      <c r="AY190">
        <v>11.189500000000001</v>
      </c>
      <c r="BA190">
        <v>21.553999999999998</v>
      </c>
      <c r="BB190">
        <v>13.2928</v>
      </c>
      <c r="BD190">
        <v>12.814500000000001</v>
      </c>
    </row>
    <row r="191" spans="1:58">
      <c r="A191" s="4">
        <v>44730</v>
      </c>
      <c r="B191">
        <v>40.200000000000003</v>
      </c>
      <c r="D191">
        <v>78.171099999999996</v>
      </c>
      <c r="J191">
        <v>48.879600000000003</v>
      </c>
      <c r="K191" s="10">
        <v>19.3078</v>
      </c>
      <c r="L191">
        <v>8.6568000000000005</v>
      </c>
      <c r="N191">
        <v>10.9946</v>
      </c>
      <c r="O191">
        <v>13.451499999999999</v>
      </c>
      <c r="P191" s="10">
        <v>39.755400000000002</v>
      </c>
      <c r="Q191" s="10">
        <v>28.014399999999998</v>
      </c>
      <c r="R191" s="10"/>
      <c r="S191" s="10">
        <v>93.307299999999998</v>
      </c>
      <c r="T191" s="10"/>
      <c r="U191" s="10"/>
      <c r="V191" s="10"/>
      <c r="W191" s="10"/>
      <c r="X191" s="10"/>
      <c r="Y191" s="10"/>
      <c r="Z191" s="10"/>
      <c r="AA191" s="10">
        <v>17.360199999999999</v>
      </c>
      <c r="AB191" s="10"/>
      <c r="AC191" s="10">
        <v>10.269600000000001</v>
      </c>
      <c r="AD191" s="10">
        <v>8.1631999999999998</v>
      </c>
      <c r="AE191" s="10">
        <v>10.5379</v>
      </c>
      <c r="AF191" s="10">
        <v>13.902200000000001</v>
      </c>
      <c r="AG191" s="10">
        <v>9.8263999999999996</v>
      </c>
      <c r="AH191" s="10">
        <v>12.5465</v>
      </c>
      <c r="AI191" s="10">
        <v>18.663599999999999</v>
      </c>
      <c r="AJ191" s="10"/>
      <c r="AK191" s="10">
        <v>28.6782</v>
      </c>
      <c r="AL191" s="10">
        <v>16.199000000000002</v>
      </c>
      <c r="AM191" s="10"/>
      <c r="AN191" s="10"/>
      <c r="AO191" s="10">
        <v>6.8422000000000001</v>
      </c>
      <c r="AP191" s="10">
        <v>4.3569000000000004</v>
      </c>
      <c r="AQ191" s="10"/>
      <c r="AR191" s="10"/>
      <c r="AS191" s="10">
        <v>21.433599999999998</v>
      </c>
      <c r="AT191" s="10"/>
      <c r="AU191" s="10"/>
      <c r="AV191" s="10"/>
      <c r="AY191">
        <v>10.173</v>
      </c>
      <c r="BA191">
        <v>19.961600000000001</v>
      </c>
      <c r="BB191">
        <v>12.521599999999999</v>
      </c>
      <c r="BD191">
        <v>12.255800000000001</v>
      </c>
    </row>
    <row r="192" spans="1:58">
      <c r="A192" s="4">
        <v>44737</v>
      </c>
      <c r="B192">
        <v>40.321599999999997</v>
      </c>
      <c r="D192">
        <v>78.440399999999997</v>
      </c>
      <c r="J192">
        <v>48.131900000000002</v>
      </c>
      <c r="K192" s="10">
        <v>19.415700000000001</v>
      </c>
      <c r="L192">
        <v>9.3085000000000004</v>
      </c>
      <c r="N192">
        <v>11.109</v>
      </c>
      <c r="O192">
        <v>13.4436</v>
      </c>
      <c r="P192" s="10">
        <v>40.101300000000002</v>
      </c>
      <c r="Q192" s="10">
        <v>28.235600000000002</v>
      </c>
      <c r="R192" s="10"/>
      <c r="S192" s="10">
        <v>94.027000000000001</v>
      </c>
      <c r="T192" s="10"/>
      <c r="U192" s="10"/>
      <c r="V192" s="10"/>
      <c r="W192" s="10"/>
      <c r="X192" s="10"/>
      <c r="Y192" s="10"/>
      <c r="Z192" s="10"/>
      <c r="AA192" s="10">
        <v>18.303899999999999</v>
      </c>
      <c r="AB192" s="10"/>
      <c r="AC192" s="10">
        <v>10.5151</v>
      </c>
      <c r="AD192">
        <v>8.4128000000000007</v>
      </c>
      <c r="AE192">
        <v>10.3414</v>
      </c>
      <c r="AF192">
        <v>13.519399999999999</v>
      </c>
      <c r="AG192">
        <v>9.6092999999999993</v>
      </c>
      <c r="AH192">
        <v>12.911799999999999</v>
      </c>
      <c r="AI192" s="10">
        <v>18.753900000000002</v>
      </c>
      <c r="AJ192" s="10"/>
      <c r="AK192" s="10">
        <v>28.834900000000001</v>
      </c>
      <c r="AL192" s="10">
        <v>16.253699999999998</v>
      </c>
      <c r="AM192" s="10"/>
      <c r="AN192" s="10"/>
      <c r="AO192" s="10">
        <v>7.0377000000000001</v>
      </c>
      <c r="AP192" s="10">
        <v>4.7199</v>
      </c>
      <c r="AQ192" s="10"/>
      <c r="AR192" s="10"/>
      <c r="AS192" s="10">
        <v>21.6191</v>
      </c>
      <c r="AT192" s="10"/>
      <c r="AU192" s="10"/>
      <c r="AV192" s="10"/>
      <c r="AY192">
        <v>10.2638</v>
      </c>
      <c r="BA192">
        <v>21.345500000000001</v>
      </c>
      <c r="BB192">
        <v>13.373799999999999</v>
      </c>
      <c r="BD192">
        <v>12.6191</v>
      </c>
    </row>
    <row r="193" spans="1:56">
      <c r="A193" s="4">
        <v>44744</v>
      </c>
      <c r="B193">
        <v>40.499499999999998</v>
      </c>
      <c r="D193">
        <v>78.801000000000002</v>
      </c>
      <c r="J193">
        <v>49.068600000000004</v>
      </c>
      <c r="K193" s="10">
        <v>19.375699999999998</v>
      </c>
      <c r="L193">
        <v>9.0137999999999998</v>
      </c>
      <c r="N193">
        <v>11.4657</v>
      </c>
      <c r="O193">
        <v>13.679500000000001</v>
      </c>
      <c r="P193" s="10">
        <v>39.991999999999997</v>
      </c>
      <c r="Q193" s="10">
        <v>28.170500000000001</v>
      </c>
      <c r="R193" s="10"/>
      <c r="S193" s="10">
        <v>93.840299999999999</v>
      </c>
      <c r="T193" s="10"/>
      <c r="U193" s="10"/>
      <c r="V193" s="10"/>
      <c r="W193" s="10"/>
      <c r="X193" s="10"/>
      <c r="Y193" s="10"/>
      <c r="Z193" s="10"/>
      <c r="AA193" s="10">
        <v>17.986499999999999</v>
      </c>
      <c r="AB193" s="10"/>
      <c r="AC193" s="10">
        <v>10.526999999999999</v>
      </c>
      <c r="AD193">
        <v>8.4709000000000003</v>
      </c>
      <c r="AE193">
        <v>10.5459</v>
      </c>
      <c r="AF193">
        <v>13.676299999999999</v>
      </c>
      <c r="AG193">
        <v>9.7070000000000007</v>
      </c>
      <c r="AH193">
        <v>13.169600000000001</v>
      </c>
      <c r="AI193" s="10">
        <v>18.5763</v>
      </c>
      <c r="AJ193" s="10"/>
      <c r="AK193" s="10">
        <v>28.849299999999999</v>
      </c>
      <c r="AL193" s="10">
        <v>16.317699999999999</v>
      </c>
      <c r="AM193" s="10"/>
      <c r="AN193" s="10"/>
      <c r="AO193" s="10">
        <v>7.2411000000000003</v>
      </c>
      <c r="AP193" s="10">
        <v>4.5636000000000001</v>
      </c>
      <c r="AQ193" s="10"/>
      <c r="AR193" s="10"/>
      <c r="AS193" s="10">
        <v>21.769100000000002</v>
      </c>
      <c r="AT193" s="10"/>
      <c r="AU193" s="10"/>
      <c r="AV193" s="10"/>
      <c r="AY193">
        <v>10.1098</v>
      </c>
      <c r="BA193">
        <v>20.842400000000001</v>
      </c>
      <c r="BB193">
        <v>13.06</v>
      </c>
      <c r="BD193">
        <v>12.4061</v>
      </c>
    </row>
    <row r="194" spans="1:56">
      <c r="A194" s="4">
        <v>44751</v>
      </c>
      <c r="B194">
        <v>40.295400000000001</v>
      </c>
      <c r="D194">
        <v>78.353899999999996</v>
      </c>
      <c r="J194">
        <v>48.393999999999998</v>
      </c>
      <c r="K194" s="10">
        <v>19.171500000000002</v>
      </c>
      <c r="L194">
        <v>9.9609000000000005</v>
      </c>
      <c r="N194">
        <v>11.325100000000001</v>
      </c>
      <c r="O194">
        <v>14.1051</v>
      </c>
      <c r="P194" s="10">
        <v>39.523099999999999</v>
      </c>
      <c r="Q194" s="10">
        <v>27.919499999999999</v>
      </c>
      <c r="R194" s="10"/>
      <c r="S194" s="10">
        <v>92.673400000000001</v>
      </c>
      <c r="T194" s="10"/>
      <c r="U194" s="10"/>
      <c r="V194" s="10"/>
      <c r="W194" s="10"/>
      <c r="X194" s="10"/>
      <c r="Y194" s="10"/>
      <c r="Z194" s="10"/>
      <c r="AA194" s="10">
        <v>19.0288</v>
      </c>
      <c r="AB194" s="10"/>
      <c r="AC194" s="10">
        <v>10.764799999999999</v>
      </c>
      <c r="AD194" s="10">
        <v>8.7690999999999999</v>
      </c>
      <c r="AE194">
        <v>10.8561</v>
      </c>
      <c r="AF194">
        <v>13.402200000000001</v>
      </c>
      <c r="AG194">
        <v>9.5203000000000007</v>
      </c>
      <c r="AH194">
        <v>13.0137</v>
      </c>
      <c r="AI194" s="10">
        <v>17.882899999999999</v>
      </c>
      <c r="AJ194" s="10"/>
      <c r="AK194" s="10">
        <v>28.740200000000002</v>
      </c>
      <c r="AL194" s="10">
        <v>16.188400000000001</v>
      </c>
      <c r="AM194" s="10"/>
      <c r="AN194" s="10"/>
      <c r="AO194" s="10">
        <v>7.2175000000000002</v>
      </c>
      <c r="AP194" s="10">
        <v>5.0909000000000004</v>
      </c>
      <c r="AQ194" s="10"/>
      <c r="AR194" s="10"/>
      <c r="AS194" s="10">
        <v>21.879100000000001</v>
      </c>
      <c r="AT194" s="10"/>
      <c r="AU194" s="10"/>
      <c r="AV194" s="10"/>
      <c r="AY194">
        <v>10.649100000000001</v>
      </c>
      <c r="BA194">
        <v>21.287299999999998</v>
      </c>
      <c r="BB194">
        <v>13.337899999999999</v>
      </c>
      <c r="BD194">
        <v>12.661</v>
      </c>
    </row>
    <row r="195" spans="1:56">
      <c r="A195" s="4">
        <v>44758</v>
      </c>
      <c r="B195">
        <v>39.6496</v>
      </c>
      <c r="D195">
        <v>77.080600000000004</v>
      </c>
      <c r="J195">
        <v>47.483600000000003</v>
      </c>
      <c r="K195" s="10">
        <v>18.7806</v>
      </c>
      <c r="L195">
        <v>9.0587</v>
      </c>
      <c r="N195">
        <v>10.987</v>
      </c>
      <c r="O195">
        <v>13.9842</v>
      </c>
      <c r="P195" s="10">
        <v>38.734699999999997</v>
      </c>
      <c r="Q195" s="10">
        <v>27.476099999999999</v>
      </c>
      <c r="R195" s="10"/>
      <c r="S195" s="10">
        <v>90.866500000000002</v>
      </c>
      <c r="T195" s="10"/>
      <c r="U195" s="10"/>
      <c r="V195" s="10"/>
      <c r="W195" s="10"/>
      <c r="X195" s="10"/>
      <c r="Y195" s="10"/>
      <c r="Z195" s="10"/>
      <c r="AA195" s="10">
        <v>18.491399999999999</v>
      </c>
      <c r="AB195" s="10"/>
      <c r="AC195" s="10">
        <v>10.4254</v>
      </c>
      <c r="AD195" s="10">
        <v>8.7378</v>
      </c>
      <c r="AE195" s="10">
        <v>10.8019</v>
      </c>
      <c r="AF195">
        <v>13.388400000000001</v>
      </c>
      <c r="AG195">
        <v>9.5100999999999996</v>
      </c>
      <c r="AH195">
        <v>12.4259</v>
      </c>
      <c r="AI195" s="10">
        <v>17.441800000000001</v>
      </c>
      <c r="AJ195" s="10"/>
      <c r="AK195" s="10">
        <v>28.520399999999999</v>
      </c>
      <c r="AL195" s="10">
        <v>15.9129</v>
      </c>
      <c r="AM195" s="10"/>
      <c r="AN195" s="10"/>
      <c r="AO195" s="10">
        <v>6.8449999999999998</v>
      </c>
      <c r="AP195" s="10">
        <v>4.7180999999999997</v>
      </c>
      <c r="AQ195" s="10"/>
      <c r="AR195" s="10"/>
      <c r="AS195" s="10">
        <v>21.617699999999999</v>
      </c>
      <c r="AT195" s="10"/>
      <c r="AU195" s="10"/>
      <c r="AV195" s="10"/>
      <c r="AY195">
        <v>10.214399999999999</v>
      </c>
      <c r="BA195">
        <v>21.105499999999999</v>
      </c>
      <c r="BB195">
        <v>13.2225</v>
      </c>
      <c r="BD195">
        <v>12.5861</v>
      </c>
    </row>
    <row r="196" spans="1:56">
      <c r="A196" s="4">
        <v>44765</v>
      </c>
      <c r="B196">
        <v>40.008200000000002</v>
      </c>
      <c r="D196">
        <v>77.811400000000006</v>
      </c>
      <c r="J196">
        <v>47.868600000000001</v>
      </c>
      <c r="K196" s="10">
        <v>18.9741</v>
      </c>
      <c r="L196">
        <v>10.4109</v>
      </c>
      <c r="N196">
        <v>11.020099999999999</v>
      </c>
      <c r="O196">
        <v>15.140700000000001</v>
      </c>
      <c r="P196" s="10">
        <v>39.216799999999999</v>
      </c>
      <c r="Q196" s="10">
        <v>27.7608</v>
      </c>
      <c r="R196" s="10"/>
      <c r="S196" s="10">
        <v>91.930800000000005</v>
      </c>
      <c r="T196" s="10"/>
      <c r="U196" s="10"/>
      <c r="V196" s="10"/>
      <c r="W196" s="10"/>
      <c r="X196" s="10"/>
      <c r="Y196" s="10"/>
      <c r="Z196" s="10"/>
      <c r="AA196" s="10">
        <v>19.935600000000001</v>
      </c>
      <c r="AB196" s="10"/>
      <c r="AC196" s="10">
        <v>11.030200000000001</v>
      </c>
      <c r="AD196" s="10">
        <v>9.2184000000000008</v>
      </c>
      <c r="AE196" s="10">
        <v>11.5596</v>
      </c>
      <c r="AF196">
        <v>13.670500000000001</v>
      </c>
      <c r="AG196">
        <v>9.6982999999999997</v>
      </c>
      <c r="AH196">
        <v>12.447100000000001</v>
      </c>
      <c r="AI196" s="10">
        <v>17.736599999999999</v>
      </c>
      <c r="AJ196" s="10"/>
      <c r="AK196" s="10">
        <v>28.661799999999999</v>
      </c>
      <c r="AL196" s="10">
        <v>16.049399999999999</v>
      </c>
      <c r="AM196" s="10"/>
      <c r="AN196" s="10"/>
      <c r="AO196" s="10">
        <v>6.8154000000000003</v>
      </c>
      <c r="AP196" s="10">
        <v>5.4423000000000004</v>
      </c>
      <c r="AQ196" s="10"/>
      <c r="AR196" s="10"/>
      <c r="AS196" s="10">
        <v>21.810199999999998</v>
      </c>
      <c r="AT196" s="10"/>
      <c r="AU196" s="10"/>
      <c r="AV196" s="10"/>
      <c r="AY196">
        <v>11.133900000000001</v>
      </c>
      <c r="BA196">
        <v>21.688199999999998</v>
      </c>
      <c r="BB196">
        <v>13.585000000000001</v>
      </c>
      <c r="BD196">
        <v>12.9573</v>
      </c>
    </row>
    <row r="197" spans="1:56">
      <c r="A197" s="4">
        <v>44772</v>
      </c>
      <c r="B197">
        <v>40.600099999999998</v>
      </c>
      <c r="D197">
        <v>78.958399999999997</v>
      </c>
      <c r="J197">
        <v>48.311199999999999</v>
      </c>
      <c r="K197" s="10">
        <v>19.1785</v>
      </c>
      <c r="L197">
        <v>9.5759000000000007</v>
      </c>
      <c r="N197">
        <v>10.9879</v>
      </c>
      <c r="O197">
        <v>15.229799999999999</v>
      </c>
      <c r="P197" s="10">
        <v>39.517499999999998</v>
      </c>
      <c r="Q197" s="10">
        <v>27.9315</v>
      </c>
      <c r="R197" s="10"/>
      <c r="S197" s="10">
        <v>92.658799999999999</v>
      </c>
      <c r="T197" s="10"/>
      <c r="U197" s="10"/>
      <c r="V197" s="10"/>
      <c r="W197" s="10"/>
      <c r="X197" s="10"/>
      <c r="Y197" s="10"/>
      <c r="Z197" s="10"/>
      <c r="AA197" s="10">
        <v>19.015999999999998</v>
      </c>
      <c r="AB197" s="10"/>
      <c r="AC197" s="10">
        <v>10.8132</v>
      </c>
      <c r="AD197" s="10">
        <v>9.1656999999999993</v>
      </c>
      <c r="AE197" s="10">
        <v>11.6464</v>
      </c>
      <c r="AF197">
        <v>13.6188</v>
      </c>
      <c r="AG197">
        <v>9.6607000000000003</v>
      </c>
      <c r="AH197">
        <v>12.3512</v>
      </c>
      <c r="AI197" s="10">
        <v>18.005600000000001</v>
      </c>
      <c r="AJ197" s="10"/>
      <c r="AK197" s="10">
        <v>28.859300000000001</v>
      </c>
      <c r="AL197" s="10">
        <v>16.250699999999998</v>
      </c>
      <c r="AM197" s="10"/>
      <c r="AN197" s="10"/>
      <c r="AO197" s="10">
        <v>6.8665000000000003</v>
      </c>
      <c r="AP197" s="10">
        <v>4.9261999999999997</v>
      </c>
      <c r="AQ197" s="10"/>
      <c r="AR197" s="10"/>
      <c r="AS197" s="10">
        <v>22.199200000000001</v>
      </c>
      <c r="AT197" s="10"/>
      <c r="AU197" s="10"/>
      <c r="AV197" s="10"/>
      <c r="AY197">
        <v>10.7577</v>
      </c>
      <c r="BA197">
        <v>22.024999999999999</v>
      </c>
      <c r="BB197">
        <v>13.7928</v>
      </c>
      <c r="BD197">
        <v>13.040900000000001</v>
      </c>
    </row>
    <row r="198" spans="1:56">
      <c r="A198" s="4">
        <v>44779</v>
      </c>
      <c r="B198">
        <v>40.999000000000002</v>
      </c>
      <c r="D198">
        <v>79.713200000000001</v>
      </c>
      <c r="J198">
        <v>48.4925</v>
      </c>
      <c r="K198" s="10">
        <v>19.389700000000001</v>
      </c>
      <c r="L198">
        <v>11.3475</v>
      </c>
      <c r="N198">
        <v>10.795299999999999</v>
      </c>
      <c r="O198">
        <v>15.7881</v>
      </c>
      <c r="P198" s="10">
        <v>40.034399999999998</v>
      </c>
      <c r="Q198" s="10">
        <v>28.2623</v>
      </c>
      <c r="R198" s="10"/>
      <c r="S198" s="10">
        <v>93.869100000000003</v>
      </c>
      <c r="T198" s="10"/>
      <c r="U198" s="10"/>
      <c r="V198" s="10"/>
      <c r="W198" s="10"/>
      <c r="X198" s="10"/>
      <c r="Y198" s="10"/>
      <c r="Z198" s="10"/>
      <c r="AA198" s="10">
        <v>20.774100000000001</v>
      </c>
      <c r="AB198" s="10"/>
      <c r="AC198" s="10">
        <v>11.3025</v>
      </c>
      <c r="AD198" s="10">
        <v>9.9124999999999996</v>
      </c>
      <c r="AE198" s="10">
        <v>12.201700000000001</v>
      </c>
      <c r="AF198">
        <v>13.6469</v>
      </c>
      <c r="AG198">
        <v>9.6822999999999997</v>
      </c>
      <c r="AH198">
        <v>12.0152</v>
      </c>
      <c r="AI198" s="10">
        <v>18.394600000000001</v>
      </c>
      <c r="AJ198" s="10"/>
      <c r="AK198" s="10">
        <v>29.102799999999998</v>
      </c>
      <c r="AL198" s="10">
        <v>17.043900000000001</v>
      </c>
      <c r="AM198" s="10"/>
      <c r="AN198" s="10"/>
      <c r="AO198" s="10">
        <v>6.5491999999999999</v>
      </c>
      <c r="AP198" s="10">
        <v>5.9356999999999998</v>
      </c>
      <c r="AQ198" s="10"/>
      <c r="AR198" s="10"/>
      <c r="AS198" s="10">
        <v>22.435099999999998</v>
      </c>
      <c r="AT198" s="10"/>
      <c r="AU198" s="10"/>
      <c r="AV198" s="10"/>
      <c r="AY198">
        <v>11.5358</v>
      </c>
      <c r="BA198">
        <v>22.686699999999998</v>
      </c>
      <c r="BB198">
        <v>14.197800000000001</v>
      </c>
      <c r="BD198">
        <v>13.2286</v>
      </c>
    </row>
    <row r="199" spans="1:56">
      <c r="A199" s="4">
        <v>44786</v>
      </c>
      <c r="B199">
        <v>41.536000000000001</v>
      </c>
      <c r="D199">
        <v>80.759100000000004</v>
      </c>
      <c r="J199">
        <v>48.646999999999998</v>
      </c>
      <c r="K199" s="10">
        <v>19.4406</v>
      </c>
      <c r="L199">
        <v>11.641500000000001</v>
      </c>
      <c r="N199">
        <v>10.474500000000001</v>
      </c>
      <c r="O199">
        <v>15.180899999999999</v>
      </c>
      <c r="P199" s="10">
        <v>40.476399999999998</v>
      </c>
      <c r="Q199" s="10">
        <v>28.529499999999999</v>
      </c>
      <c r="R199" s="10"/>
      <c r="S199" s="10">
        <v>94.878100000000003</v>
      </c>
      <c r="T199" s="10"/>
      <c r="U199" s="10"/>
      <c r="V199" s="10"/>
      <c r="W199" s="10"/>
      <c r="X199" s="10"/>
      <c r="Y199" s="10"/>
      <c r="Z199" s="10"/>
      <c r="AA199" s="10">
        <v>21.043900000000001</v>
      </c>
      <c r="AB199" s="10"/>
      <c r="AC199" s="10">
        <v>11.4907</v>
      </c>
      <c r="AD199" s="10">
        <v>9.6073000000000004</v>
      </c>
      <c r="AE199" s="10">
        <v>11.7498</v>
      </c>
      <c r="AF199">
        <v>13.5063</v>
      </c>
      <c r="AG199">
        <v>9.5827000000000009</v>
      </c>
      <c r="AH199">
        <v>12.0471</v>
      </c>
      <c r="AI199" s="10">
        <v>18.322500000000002</v>
      </c>
      <c r="AJ199" s="10"/>
      <c r="AK199" s="10">
        <v>29.1844</v>
      </c>
      <c r="AL199" s="10">
        <v>17.231400000000001</v>
      </c>
      <c r="AM199" s="10"/>
      <c r="AN199" s="10"/>
      <c r="AO199" s="10">
        <v>6.2998000000000003</v>
      </c>
      <c r="AP199" s="10">
        <v>6.1980000000000004</v>
      </c>
      <c r="AQ199" s="10"/>
      <c r="AR199" s="10"/>
      <c r="AS199" s="10">
        <v>22.826899999999998</v>
      </c>
      <c r="AT199" s="10"/>
      <c r="AU199" s="10"/>
      <c r="AV199" s="10"/>
      <c r="AY199">
        <v>11.3658</v>
      </c>
      <c r="BA199">
        <v>23.027999999999999</v>
      </c>
      <c r="BB199">
        <v>14.408799999999999</v>
      </c>
      <c r="BD199">
        <v>13.359400000000001</v>
      </c>
    </row>
    <row r="200" spans="1:56">
      <c r="A200" s="4">
        <v>44793</v>
      </c>
      <c r="B200">
        <v>40.295400000000001</v>
      </c>
      <c r="D200">
        <v>78.353899999999996</v>
      </c>
      <c r="J200">
        <v>48.650100000000002</v>
      </c>
      <c r="K200" s="10">
        <v>19.375499999999999</v>
      </c>
      <c r="L200">
        <v>11.2433</v>
      </c>
      <c r="N200">
        <v>10.6966</v>
      </c>
      <c r="O200">
        <v>15.3741</v>
      </c>
      <c r="P200" s="10">
        <v>40.384599999999999</v>
      </c>
      <c r="Q200" s="10">
        <v>28.463000000000001</v>
      </c>
      <c r="R200" s="10"/>
      <c r="S200" s="10">
        <v>94.617000000000004</v>
      </c>
      <c r="T200" s="10"/>
      <c r="U200" s="10"/>
      <c r="V200" s="10"/>
      <c r="W200" s="10"/>
      <c r="X200" s="10"/>
      <c r="Y200" s="10"/>
      <c r="Z200" s="10"/>
      <c r="AA200" s="10">
        <v>21.2575</v>
      </c>
      <c r="AB200" s="10"/>
      <c r="AC200" s="10">
        <v>11.574299999999999</v>
      </c>
      <c r="AD200" s="10">
        <v>9.8384</v>
      </c>
      <c r="AE200" s="10">
        <v>11.907</v>
      </c>
      <c r="AF200">
        <v>13.875</v>
      </c>
      <c r="AG200">
        <v>9.8305000000000007</v>
      </c>
      <c r="AH200">
        <v>12.010400000000001</v>
      </c>
      <c r="AI200" s="10">
        <v>18.5764</v>
      </c>
      <c r="AJ200" s="10"/>
      <c r="AK200" s="10">
        <v>29.201899999999998</v>
      </c>
      <c r="AL200" s="10">
        <v>16.712299999999999</v>
      </c>
      <c r="AM200" s="10"/>
      <c r="AN200" s="10"/>
      <c r="AO200" s="10">
        <v>6.3902000000000001</v>
      </c>
      <c r="AP200" s="10">
        <v>5.9756999999999998</v>
      </c>
      <c r="AQ200" s="10"/>
      <c r="AR200" s="10"/>
      <c r="AS200" s="10">
        <v>22.888200000000001</v>
      </c>
      <c r="AT200" s="10"/>
      <c r="AU200" s="10"/>
      <c r="AV200" s="10"/>
      <c r="AY200">
        <v>11.7234</v>
      </c>
      <c r="BA200">
        <v>23.139700000000001</v>
      </c>
      <c r="BB200">
        <v>14.479900000000001</v>
      </c>
      <c r="BD200">
        <v>13.262499999999999</v>
      </c>
    </row>
    <row r="201" spans="1:56">
      <c r="A201" s="4">
        <v>44800</v>
      </c>
      <c r="B201">
        <v>42.292200000000001</v>
      </c>
      <c r="D201">
        <v>82.211200000000005</v>
      </c>
      <c r="J201">
        <v>49.2393</v>
      </c>
      <c r="K201" s="10">
        <v>19.503599999999999</v>
      </c>
      <c r="L201">
        <v>10.9152</v>
      </c>
      <c r="N201">
        <v>10.694699999999999</v>
      </c>
      <c r="O201">
        <v>14.927899999999999</v>
      </c>
      <c r="P201" s="10">
        <v>40.922600000000003</v>
      </c>
      <c r="Q201" s="10">
        <v>28.7651</v>
      </c>
      <c r="R201" s="10"/>
      <c r="S201" s="10">
        <v>95.838499999999996</v>
      </c>
      <c r="T201" s="10"/>
      <c r="U201" s="10"/>
      <c r="V201" s="10"/>
      <c r="W201" s="10"/>
      <c r="X201" s="10"/>
      <c r="Y201" s="10"/>
      <c r="Z201" s="10"/>
      <c r="AA201" s="10">
        <v>20.6905</v>
      </c>
      <c r="AB201" s="10"/>
      <c r="AC201" s="10">
        <v>11.397500000000001</v>
      </c>
      <c r="AD201" s="10">
        <v>9.5955999999999992</v>
      </c>
      <c r="AE201" s="10">
        <v>11.619400000000001</v>
      </c>
      <c r="AF201" s="10">
        <v>14.2178</v>
      </c>
      <c r="AG201" s="10">
        <v>10.0655</v>
      </c>
      <c r="AH201" s="10">
        <v>11.994</v>
      </c>
      <c r="AI201" s="10">
        <v>18.832599999999999</v>
      </c>
      <c r="AJ201" s="10"/>
      <c r="AK201" s="10">
        <v>29.354399999999998</v>
      </c>
      <c r="AL201" s="10">
        <v>17.547000000000001</v>
      </c>
      <c r="AM201" s="10"/>
      <c r="AN201" s="10"/>
      <c r="AO201" s="10">
        <v>6.4485000000000001</v>
      </c>
      <c r="AP201" s="10">
        <v>5.7426000000000004</v>
      </c>
      <c r="AQ201" s="10"/>
      <c r="AR201" s="10"/>
      <c r="AS201" s="10">
        <v>23.331099999999999</v>
      </c>
      <c r="AT201" s="10"/>
      <c r="AU201" s="10"/>
      <c r="AV201" s="10"/>
      <c r="AY201">
        <v>11.367699999999999</v>
      </c>
      <c r="BA201">
        <v>22.157</v>
      </c>
      <c r="BB201">
        <v>13.8719</v>
      </c>
      <c r="BD201">
        <v>12.9262</v>
      </c>
    </row>
    <row r="202" spans="1:56">
      <c r="A202" s="4">
        <v>44807</v>
      </c>
      <c r="B202">
        <v>42.033200000000001</v>
      </c>
      <c r="D202">
        <v>81.67</v>
      </c>
      <c r="J202">
        <v>49.155099999999997</v>
      </c>
      <c r="K202" s="10">
        <v>19.375</v>
      </c>
      <c r="L202">
        <v>9.7681000000000004</v>
      </c>
      <c r="N202">
        <v>10.499000000000001</v>
      </c>
      <c r="O202">
        <v>13.968999999999999</v>
      </c>
      <c r="P202" s="10">
        <v>40.770600000000002</v>
      </c>
      <c r="Q202" s="10">
        <v>28.686</v>
      </c>
      <c r="R202" s="10"/>
      <c r="S202" s="10">
        <v>95.452200000000005</v>
      </c>
      <c r="T202" s="10"/>
      <c r="U202" s="10"/>
      <c r="V202" s="10"/>
      <c r="W202" s="10"/>
      <c r="X202" s="10"/>
      <c r="Y202" s="10"/>
      <c r="Z202" s="10"/>
      <c r="AA202" s="10">
        <v>18.996300000000002</v>
      </c>
      <c r="AB202" s="10"/>
      <c r="AC202" s="10">
        <v>10.7735</v>
      </c>
      <c r="AD202" s="10">
        <v>9.2362000000000002</v>
      </c>
      <c r="AE202" s="10">
        <v>10.779199999999999</v>
      </c>
      <c r="AF202" s="10">
        <v>14.326499999999999</v>
      </c>
      <c r="AG202" s="10">
        <v>10.1378</v>
      </c>
      <c r="AH202" s="10">
        <v>11.7181</v>
      </c>
      <c r="AI202" s="10">
        <v>18.818200000000001</v>
      </c>
      <c r="AJ202" s="10"/>
      <c r="AK202" s="10">
        <v>29.2271</v>
      </c>
      <c r="AL202" s="10">
        <v>17.145800000000001</v>
      </c>
      <c r="AM202" s="10"/>
      <c r="AN202" s="10"/>
      <c r="AO202" s="10">
        <v>6.4008000000000003</v>
      </c>
      <c r="AP202" s="10">
        <v>5.1959</v>
      </c>
      <c r="AQ202" s="10"/>
      <c r="AR202" s="10"/>
      <c r="AS202" s="10">
        <v>23.160499999999999</v>
      </c>
      <c r="AT202" s="10"/>
      <c r="AU202" s="10"/>
      <c r="AV202" s="10"/>
      <c r="AY202">
        <v>10.7926</v>
      </c>
      <c r="BA202">
        <v>21.412700000000001</v>
      </c>
      <c r="BB202">
        <v>13.408799999999999</v>
      </c>
      <c r="BD202">
        <v>12.670199999999999</v>
      </c>
    </row>
    <row r="203" spans="1:56">
      <c r="A203" s="4">
        <v>44814</v>
      </c>
      <c r="B203">
        <v>42.431199999999997</v>
      </c>
      <c r="D203">
        <v>82.358099999999993</v>
      </c>
      <c r="J203">
        <v>49.394599999999997</v>
      </c>
      <c r="K203" s="10">
        <v>19.455200000000001</v>
      </c>
      <c r="L203">
        <v>9.7654999999999994</v>
      </c>
      <c r="N203">
        <v>10.121499999999999</v>
      </c>
      <c r="O203">
        <v>14.0465</v>
      </c>
      <c r="P203" s="10">
        <v>41.116799999999998</v>
      </c>
      <c r="Q203" s="10">
        <v>28.861499999999999</v>
      </c>
      <c r="R203" s="10"/>
      <c r="S203" s="10">
        <v>96.202699999999993</v>
      </c>
      <c r="T203" s="10"/>
      <c r="U203" s="10"/>
      <c r="V203" s="10"/>
      <c r="W203" s="10"/>
      <c r="X203" s="10"/>
      <c r="Y203" s="10"/>
      <c r="Z203" s="10"/>
      <c r="AA203" s="10">
        <v>19.0458</v>
      </c>
      <c r="AB203" s="10"/>
      <c r="AC203" s="10">
        <v>10.82</v>
      </c>
      <c r="AD203" s="10">
        <v>9.4092000000000002</v>
      </c>
      <c r="AE203" s="10">
        <v>10.883900000000001</v>
      </c>
      <c r="AF203" s="10">
        <v>13.9055</v>
      </c>
      <c r="AG203" s="10">
        <v>9.8573000000000004</v>
      </c>
      <c r="AH203" s="10">
        <v>11.854200000000001</v>
      </c>
      <c r="AI203" s="10">
        <v>19.030100000000001</v>
      </c>
      <c r="AJ203" s="10"/>
      <c r="AK203" s="10">
        <v>29.273599999999998</v>
      </c>
      <c r="AL203" s="10">
        <v>17.290700000000001</v>
      </c>
      <c r="AM203" s="10"/>
      <c r="AN203" s="10"/>
      <c r="AO203" s="10">
        <v>6.1855000000000002</v>
      </c>
      <c r="AP203" s="10">
        <v>5.3516000000000004</v>
      </c>
      <c r="AQ203" s="10"/>
      <c r="AR203" s="10"/>
      <c r="AS203" s="10">
        <v>23.5778</v>
      </c>
      <c r="AT203" s="10"/>
      <c r="AU203" s="10"/>
      <c r="AV203" s="10"/>
      <c r="AY203">
        <v>10.933299999999999</v>
      </c>
      <c r="BA203">
        <v>22.2104</v>
      </c>
      <c r="BB203">
        <v>13.908200000000001</v>
      </c>
      <c r="BD203">
        <v>12.8096</v>
      </c>
    </row>
    <row r="204" spans="1:56">
      <c r="A204" s="4">
        <v>44821</v>
      </c>
      <c r="B204">
        <v>41.637900000000002</v>
      </c>
      <c r="D204">
        <v>80.829599999999999</v>
      </c>
      <c r="J204">
        <v>48.515900000000002</v>
      </c>
      <c r="K204" s="10">
        <v>19.142700000000001</v>
      </c>
      <c r="L204">
        <v>10.1881</v>
      </c>
      <c r="N204">
        <v>10.2898</v>
      </c>
      <c r="O204">
        <v>14.127599999999999</v>
      </c>
      <c r="P204" s="10">
        <v>40.543100000000003</v>
      </c>
      <c r="Q204" s="10">
        <v>28.489899999999999</v>
      </c>
      <c r="R204" s="10"/>
      <c r="S204" s="10">
        <v>94.792400000000001</v>
      </c>
      <c r="T204" s="10"/>
      <c r="U204" s="10"/>
      <c r="V204" s="10"/>
      <c r="W204" s="10"/>
      <c r="X204" s="10"/>
      <c r="Y204" s="10"/>
      <c r="Z204" s="10"/>
      <c r="AA204" s="10">
        <v>18.4543</v>
      </c>
      <c r="AB204" s="10"/>
      <c r="AC204" s="10">
        <v>10.659599999999999</v>
      </c>
      <c r="AD204" s="10">
        <v>9.4968000000000004</v>
      </c>
      <c r="AE204" s="10">
        <v>10.9125</v>
      </c>
      <c r="AF204" s="10">
        <v>13.9381</v>
      </c>
      <c r="AG204" s="10">
        <v>9.8785000000000007</v>
      </c>
      <c r="AH204" s="10">
        <v>11.540100000000001</v>
      </c>
      <c r="AI204" s="10">
        <v>18.801300000000001</v>
      </c>
      <c r="AJ204" s="10"/>
      <c r="AK204" s="10">
        <v>29.0015</v>
      </c>
      <c r="AL204" s="10">
        <v>17.031600000000001</v>
      </c>
      <c r="AM204" s="10"/>
      <c r="AN204" s="10"/>
      <c r="AO204" s="10">
        <v>6.2210000000000001</v>
      </c>
      <c r="AP204" s="10">
        <v>5.6412000000000004</v>
      </c>
      <c r="AQ204" s="10"/>
      <c r="AR204" s="10"/>
      <c r="AS204" s="10">
        <v>23.123999999999999</v>
      </c>
      <c r="AT204" s="10"/>
      <c r="AU204" s="10"/>
      <c r="AV204" s="10"/>
      <c r="AY204">
        <v>10.666499999999999</v>
      </c>
      <c r="BA204">
        <v>21.132100000000001</v>
      </c>
      <c r="BB204">
        <v>13.2273</v>
      </c>
      <c r="BD204">
        <v>12.4404</v>
      </c>
    </row>
    <row r="205" spans="1:56">
      <c r="A205" s="4">
        <v>44828</v>
      </c>
      <c r="B205">
        <v>41.788499999999999</v>
      </c>
      <c r="D205">
        <v>81.138400000000004</v>
      </c>
      <c r="J205">
        <v>48.869</v>
      </c>
      <c r="K205" s="10">
        <v>19.211400000000001</v>
      </c>
      <c r="L205">
        <v>9.1422000000000008</v>
      </c>
      <c r="N205">
        <v>9.7398000000000007</v>
      </c>
      <c r="O205">
        <v>13.3475</v>
      </c>
      <c r="P205" s="10">
        <v>40.814</v>
      </c>
      <c r="Q205" s="10">
        <v>28.670300000000001</v>
      </c>
      <c r="R205" s="10"/>
      <c r="S205" s="10">
        <v>95.416200000000003</v>
      </c>
      <c r="T205" s="10"/>
      <c r="U205" s="10"/>
      <c r="V205" s="10"/>
      <c r="W205" s="10"/>
      <c r="X205" s="10"/>
      <c r="Y205" s="10"/>
      <c r="Z205" s="10"/>
      <c r="AA205" s="10">
        <v>17.758199999999999</v>
      </c>
      <c r="AB205" s="10"/>
      <c r="AC205" s="10">
        <v>10.242900000000001</v>
      </c>
      <c r="AD205" s="10">
        <v>9.2140000000000004</v>
      </c>
      <c r="AE205" s="10">
        <v>10.3124</v>
      </c>
      <c r="AF205" s="10">
        <v>13.642300000000001</v>
      </c>
      <c r="AG205" s="10">
        <v>9.6750000000000007</v>
      </c>
      <c r="AH205" s="10">
        <v>11.333600000000001</v>
      </c>
      <c r="AI205" s="10">
        <v>18.691199999999998</v>
      </c>
      <c r="AJ205" s="10"/>
      <c r="AK205" s="10">
        <v>28.956499999999998</v>
      </c>
      <c r="AL205" s="10">
        <v>17.049399999999999</v>
      </c>
      <c r="AM205" s="10"/>
      <c r="AN205" s="10"/>
      <c r="AO205" s="10">
        <v>5.8116000000000003</v>
      </c>
      <c r="AP205" s="10">
        <v>5.0168999999999997</v>
      </c>
      <c r="AQ205" s="10"/>
      <c r="AR205" s="10"/>
      <c r="AS205" s="10">
        <v>23.097799999999999</v>
      </c>
      <c r="AT205" s="10"/>
      <c r="AU205" s="10"/>
      <c r="AV205" s="10"/>
      <c r="AY205">
        <v>10.161799999999999</v>
      </c>
      <c r="BA205">
        <v>20.125299999999999</v>
      </c>
      <c r="BB205">
        <v>12.593999999999999</v>
      </c>
      <c r="BD205">
        <v>11.922599999999999</v>
      </c>
    </row>
    <row r="206" spans="1:56">
      <c r="A206" s="4">
        <v>44835</v>
      </c>
      <c r="B206">
        <v>40.842100000000002</v>
      </c>
      <c r="D206">
        <v>79.257300000000001</v>
      </c>
      <c r="J206">
        <v>47.551900000000003</v>
      </c>
      <c r="K206" s="10">
        <v>18.7227</v>
      </c>
      <c r="L206">
        <v>8.8016000000000005</v>
      </c>
      <c r="N206">
        <v>9.2393000000000001</v>
      </c>
      <c r="O206">
        <v>12.7925</v>
      </c>
      <c r="P206" s="10">
        <v>39.686</v>
      </c>
      <c r="Q206" s="10">
        <v>28.001799999999999</v>
      </c>
      <c r="R206" s="10"/>
      <c r="S206" s="10">
        <v>92.748000000000005</v>
      </c>
      <c r="T206" s="10"/>
      <c r="U206" s="10"/>
      <c r="V206" s="10"/>
      <c r="W206" s="10"/>
      <c r="X206" s="10"/>
      <c r="Y206" s="10"/>
      <c r="Z206" s="10"/>
      <c r="AA206" s="10">
        <v>17.200500000000002</v>
      </c>
      <c r="AB206" s="10"/>
      <c r="AC206" s="10">
        <v>9.8571000000000009</v>
      </c>
      <c r="AD206" s="10">
        <v>9.1933000000000007</v>
      </c>
      <c r="AE206" s="10">
        <v>9.9797999999999991</v>
      </c>
      <c r="AF206" s="10">
        <v>12.950799999999999</v>
      </c>
      <c r="AG206" s="10">
        <v>9.2013999999999996</v>
      </c>
      <c r="AH206" s="10">
        <v>11.4267</v>
      </c>
      <c r="AI206" s="10">
        <v>18.1341</v>
      </c>
      <c r="AJ206" s="10"/>
      <c r="AK206" s="10">
        <v>28.601299999999998</v>
      </c>
      <c r="AL206" s="10">
        <v>16.625399999999999</v>
      </c>
      <c r="AM206" s="10"/>
      <c r="AN206" s="10"/>
      <c r="AO206" s="10">
        <v>5.6623000000000001</v>
      </c>
      <c r="AP206" s="10">
        <v>4.9005000000000001</v>
      </c>
      <c r="AQ206" s="10"/>
      <c r="AR206" s="10"/>
      <c r="AS206" s="10">
        <v>22.7104</v>
      </c>
      <c r="AT206" s="10"/>
      <c r="AU206" s="10"/>
      <c r="AV206" s="10"/>
      <c r="AY206">
        <v>9.8486999999999991</v>
      </c>
      <c r="BA206">
        <v>19.4758</v>
      </c>
      <c r="BB206">
        <v>12.191700000000001</v>
      </c>
      <c r="BD206">
        <v>11.843299999999999</v>
      </c>
    </row>
    <row r="207" spans="1:56">
      <c r="A207" s="4">
        <v>44842</v>
      </c>
      <c r="B207">
        <v>40.407499999999999</v>
      </c>
      <c r="D207">
        <v>78.480199999999996</v>
      </c>
      <c r="J207">
        <v>47.550400000000003</v>
      </c>
      <c r="K207" s="10">
        <v>18.5976</v>
      </c>
      <c r="L207">
        <v>9.4101999999999997</v>
      </c>
      <c r="N207">
        <v>9.6034000000000006</v>
      </c>
      <c r="O207">
        <v>13.621</v>
      </c>
      <c r="P207" s="10">
        <v>39.325400000000002</v>
      </c>
      <c r="Q207" s="10">
        <v>27.813600000000001</v>
      </c>
      <c r="R207" s="10"/>
      <c r="S207" s="10">
        <v>91.931600000000003</v>
      </c>
      <c r="T207" s="10"/>
      <c r="U207" s="10"/>
      <c r="V207" s="10"/>
      <c r="W207" s="10"/>
      <c r="X207" s="10"/>
      <c r="Y207" s="10"/>
      <c r="Z207" s="10"/>
      <c r="AA207" s="10">
        <v>17.685700000000001</v>
      </c>
      <c r="AB207" s="10"/>
      <c r="AC207" s="10">
        <v>10.1439</v>
      </c>
      <c r="AD207" s="10">
        <v>9.2063000000000006</v>
      </c>
      <c r="AE207" s="10">
        <v>10.510999999999999</v>
      </c>
      <c r="AF207" s="10">
        <v>11.624599999999999</v>
      </c>
      <c r="AG207" s="10">
        <v>8.2904</v>
      </c>
      <c r="AH207" s="10">
        <v>11.4267</v>
      </c>
      <c r="AI207" s="10">
        <v>18.1846</v>
      </c>
      <c r="AJ207" s="10"/>
      <c r="AK207" s="10">
        <v>28.540900000000001</v>
      </c>
      <c r="AL207" s="10">
        <v>16.461300000000001</v>
      </c>
      <c r="AM207" s="10"/>
      <c r="AN207" s="10"/>
      <c r="AO207" s="10">
        <v>5.8037999999999998</v>
      </c>
      <c r="AP207" s="10">
        <v>5.3060999999999998</v>
      </c>
      <c r="AQ207" s="10"/>
      <c r="AR207" s="10"/>
      <c r="AS207" s="10">
        <v>22.797999999999998</v>
      </c>
      <c r="AT207" s="10"/>
      <c r="AU207" s="10"/>
      <c r="AV207" s="10"/>
      <c r="AY207">
        <v>10.210599999999999</v>
      </c>
      <c r="BA207">
        <v>19.7578</v>
      </c>
      <c r="BB207">
        <v>12.3667</v>
      </c>
      <c r="BD207">
        <v>11.956899999999999</v>
      </c>
    </row>
    <row r="208" spans="1:56">
      <c r="A208" s="4">
        <v>44849</v>
      </c>
      <c r="B208">
        <v>39.9544</v>
      </c>
      <c r="D208">
        <v>77.615799999999993</v>
      </c>
      <c r="J208">
        <v>47.0306</v>
      </c>
      <c r="K208" s="10">
        <v>18.399000000000001</v>
      </c>
      <c r="L208">
        <v>8.1179000000000006</v>
      </c>
      <c r="N208">
        <v>8.9847000000000001</v>
      </c>
      <c r="O208">
        <v>12.872400000000001</v>
      </c>
      <c r="P208" s="10">
        <v>38.791499999999999</v>
      </c>
      <c r="Q208" s="10">
        <v>27.4847</v>
      </c>
      <c r="R208" s="10"/>
      <c r="S208" s="10">
        <v>90.738500000000002</v>
      </c>
      <c r="T208" s="10"/>
      <c r="U208" s="10"/>
      <c r="V208" s="10"/>
      <c r="W208" s="10"/>
      <c r="X208" s="10"/>
      <c r="Y208" s="10"/>
      <c r="Z208" s="10"/>
      <c r="AA208" s="10">
        <v>16.569500000000001</v>
      </c>
      <c r="AB208" s="10"/>
      <c r="AC208" s="10">
        <v>9.7162000000000006</v>
      </c>
      <c r="AD208" s="10">
        <v>8.8963999999999999</v>
      </c>
      <c r="AE208" s="10">
        <v>9.92</v>
      </c>
      <c r="AF208" s="10">
        <v>11.6988</v>
      </c>
      <c r="AG208" s="10">
        <v>8.3428000000000004</v>
      </c>
      <c r="AH208" s="10">
        <v>11.0906</v>
      </c>
      <c r="AI208" s="10">
        <v>17.878499999999999</v>
      </c>
      <c r="AJ208" s="10"/>
      <c r="AK208" s="10">
        <v>28.353100000000001</v>
      </c>
      <c r="AL208" s="10">
        <v>16.272099999999998</v>
      </c>
      <c r="AM208" s="10"/>
      <c r="AN208" s="10"/>
      <c r="AO208" s="10">
        <v>5.3019999999999996</v>
      </c>
      <c r="AP208" s="10">
        <v>4.5679999999999996</v>
      </c>
      <c r="AQ208" s="10"/>
      <c r="AR208" s="10"/>
      <c r="AS208" s="10">
        <v>22.439900000000002</v>
      </c>
      <c r="AT208" s="10"/>
      <c r="AU208" s="10"/>
      <c r="AV208" s="10"/>
      <c r="AY208">
        <v>9.5937999999999999</v>
      </c>
      <c r="BA208">
        <v>19.380400000000002</v>
      </c>
      <c r="BB208">
        <v>12.1326</v>
      </c>
      <c r="BD208">
        <v>11.775600000000001</v>
      </c>
    </row>
    <row r="209" spans="1:56">
      <c r="A209" s="4">
        <v>44856</v>
      </c>
      <c r="B209">
        <v>40.804000000000002</v>
      </c>
      <c r="D209">
        <v>79.227599999999995</v>
      </c>
      <c r="J209">
        <v>48.011899999999997</v>
      </c>
      <c r="K209" s="10">
        <v>18.825900000000001</v>
      </c>
      <c r="L209">
        <v>8.4274000000000004</v>
      </c>
      <c r="N209">
        <v>8.8431999999999995</v>
      </c>
      <c r="O209">
        <v>13.254099999999999</v>
      </c>
      <c r="P209" s="10">
        <v>39.587699999999998</v>
      </c>
      <c r="Q209" s="10">
        <v>27.970099999999999</v>
      </c>
      <c r="R209" s="10"/>
      <c r="S209" s="10">
        <v>92.638300000000001</v>
      </c>
      <c r="T209" s="10"/>
      <c r="U209" s="10"/>
      <c r="V209" s="10"/>
      <c r="W209" s="10"/>
      <c r="X209" s="10"/>
      <c r="Y209" s="10"/>
      <c r="Z209" s="10"/>
      <c r="AA209" s="10">
        <v>16.9861</v>
      </c>
      <c r="AB209" s="10"/>
      <c r="AC209" s="10">
        <v>9.9014000000000006</v>
      </c>
      <c r="AD209" s="10">
        <v>8.7794000000000008</v>
      </c>
      <c r="AE209" s="10">
        <v>10.159000000000001</v>
      </c>
      <c r="AF209" s="10">
        <v>11.2676</v>
      </c>
      <c r="AG209" s="10">
        <v>8.0518000000000001</v>
      </c>
      <c r="AH209" s="10">
        <v>10.8103</v>
      </c>
      <c r="AI209" s="10">
        <v>18.3504</v>
      </c>
      <c r="AJ209" s="10"/>
      <c r="AK209" s="10">
        <v>28.615200000000002</v>
      </c>
      <c r="AL209" s="10">
        <v>16.635899999999999</v>
      </c>
      <c r="AM209" s="10"/>
      <c r="AN209" s="10"/>
      <c r="AO209" s="10">
        <v>5.1966999999999999</v>
      </c>
      <c r="AP209" s="10">
        <v>4.9942000000000002</v>
      </c>
      <c r="AQ209" s="10"/>
      <c r="AR209" s="10"/>
      <c r="AS209" s="10">
        <v>22.7409</v>
      </c>
      <c r="AT209" s="10"/>
      <c r="AU209" s="10"/>
      <c r="AV209" s="10"/>
      <c r="AY209">
        <v>9.923</v>
      </c>
      <c r="BA209">
        <v>20.422699999999999</v>
      </c>
      <c r="BB209">
        <v>12.7799</v>
      </c>
      <c r="BD209">
        <v>12.1241</v>
      </c>
    </row>
    <row r="210" spans="1:56">
      <c r="A210" s="4">
        <v>44863</v>
      </c>
      <c r="B210">
        <v>41.430300000000003</v>
      </c>
      <c r="D210">
        <v>80.450299999999999</v>
      </c>
      <c r="J210">
        <v>48.467599999999997</v>
      </c>
      <c r="K210" s="10">
        <v>19.040800000000001</v>
      </c>
      <c r="L210">
        <v>8.7767999999999997</v>
      </c>
      <c r="N210">
        <v>8.4758999999999993</v>
      </c>
      <c r="O210">
        <v>14.1624</v>
      </c>
      <c r="P210" s="10">
        <v>39.908499999999997</v>
      </c>
      <c r="Q210" s="10">
        <v>28.1614</v>
      </c>
      <c r="R210" s="10"/>
      <c r="S210" s="10">
        <v>93.265799999999999</v>
      </c>
      <c r="T210" s="10"/>
      <c r="U210" s="10"/>
      <c r="V210" s="10"/>
      <c r="W210" s="10"/>
      <c r="X210" s="10"/>
      <c r="Y210" s="10"/>
      <c r="Z210" s="10"/>
      <c r="AA210" s="10">
        <v>17.212299999999999</v>
      </c>
      <c r="AB210" s="10"/>
      <c r="AC210" s="10">
        <v>10.2592</v>
      </c>
      <c r="AD210" s="10">
        <v>9.0342000000000002</v>
      </c>
      <c r="AE210" s="10">
        <v>10.773</v>
      </c>
      <c r="AF210" s="10">
        <v>11.293900000000001</v>
      </c>
      <c r="AG210" s="10">
        <v>8.0626999999999995</v>
      </c>
      <c r="AH210" s="10">
        <v>10.005800000000001</v>
      </c>
      <c r="AI210" s="10">
        <v>18.526700000000002</v>
      </c>
      <c r="AJ210" s="10"/>
      <c r="AK210" s="10">
        <v>28.846</v>
      </c>
      <c r="AL210" s="10">
        <v>16.8918</v>
      </c>
      <c r="AM210" s="10"/>
      <c r="AN210" s="10"/>
      <c r="AO210" s="10">
        <v>4.9451000000000001</v>
      </c>
      <c r="AP210" s="10">
        <v>5.1247999999999996</v>
      </c>
      <c r="AQ210" s="10"/>
      <c r="AR210" s="10"/>
      <c r="AS210" s="10">
        <v>23.052299999999999</v>
      </c>
      <c r="AT210" s="10"/>
      <c r="AU210" s="10"/>
      <c r="AV210" s="10"/>
      <c r="AY210">
        <v>10.3805</v>
      </c>
      <c r="BA210">
        <v>21.246200000000002</v>
      </c>
      <c r="BB210">
        <v>13.278499999999999</v>
      </c>
      <c r="BD210">
        <v>12.5527</v>
      </c>
    </row>
    <row r="211" spans="1:56">
      <c r="A211" s="4">
        <v>44870</v>
      </c>
      <c r="B211">
        <v>41.863500000000002</v>
      </c>
      <c r="D211">
        <v>81.311599999999999</v>
      </c>
      <c r="J211">
        <v>49.059899999999999</v>
      </c>
      <c r="K211" s="10">
        <v>19.303599999999999</v>
      </c>
      <c r="L211">
        <v>8.3971</v>
      </c>
      <c r="N211">
        <v>8.4792000000000005</v>
      </c>
      <c r="O211">
        <v>13.609</v>
      </c>
      <c r="P211" s="10">
        <v>40.347099999999998</v>
      </c>
      <c r="Q211" s="10">
        <v>28.419</v>
      </c>
      <c r="R211" s="10"/>
      <c r="S211" s="10">
        <v>94.302199999999999</v>
      </c>
      <c r="T211" s="10"/>
      <c r="U211" s="10"/>
      <c r="V211" s="10"/>
      <c r="W211" s="10"/>
      <c r="X211" s="10"/>
      <c r="Y211" s="10"/>
      <c r="Z211" s="10"/>
      <c r="AA211" s="10">
        <v>16.4087</v>
      </c>
      <c r="AB211" s="10"/>
      <c r="AC211" s="10">
        <v>10.06</v>
      </c>
      <c r="AD211" s="10">
        <v>9.3590999999999998</v>
      </c>
      <c r="AE211" s="10">
        <v>10.448700000000001</v>
      </c>
      <c r="AF211" s="10">
        <v>10.96</v>
      </c>
      <c r="AG211" s="10">
        <v>7.8349000000000002</v>
      </c>
      <c r="AH211" s="10">
        <v>10.536899999999999</v>
      </c>
      <c r="AI211" s="10">
        <v>18.6553</v>
      </c>
      <c r="AJ211" s="10"/>
      <c r="AK211" s="10">
        <v>29.007000000000001</v>
      </c>
      <c r="AL211" s="10">
        <v>17.12</v>
      </c>
      <c r="AM211" s="10"/>
      <c r="AN211" s="10"/>
      <c r="AO211" s="10">
        <v>5.0346000000000002</v>
      </c>
      <c r="AP211" s="10">
        <v>4.8407</v>
      </c>
      <c r="AQ211" s="10"/>
      <c r="AR211" s="10"/>
      <c r="AS211" s="10">
        <v>23.406300000000002</v>
      </c>
      <c r="AT211" s="10"/>
      <c r="AU211" s="10"/>
      <c r="AV211" s="10"/>
      <c r="AY211">
        <v>9.9680999999999997</v>
      </c>
      <c r="BA211">
        <v>20.541</v>
      </c>
      <c r="BB211">
        <v>12.845499999999999</v>
      </c>
      <c r="BD211">
        <v>12.7012</v>
      </c>
    </row>
    <row r="212" spans="1:56">
      <c r="A212" s="4">
        <v>44877</v>
      </c>
      <c r="B212">
        <v>42.410499999999999</v>
      </c>
      <c r="D212">
        <v>82.328199999999995</v>
      </c>
      <c r="J212">
        <v>49.351199999999999</v>
      </c>
      <c r="K212" s="10">
        <v>19.138300000000001</v>
      </c>
      <c r="L212">
        <v>8.3726000000000003</v>
      </c>
      <c r="N212">
        <v>8.3726000000000003</v>
      </c>
      <c r="O212">
        <v>14.1991</v>
      </c>
      <c r="P212" s="10">
        <v>40.701999999999998</v>
      </c>
      <c r="Q212" s="10">
        <v>28.6585</v>
      </c>
      <c r="R212" s="10"/>
      <c r="S212" s="10">
        <v>95.138099999999994</v>
      </c>
      <c r="T212" s="10"/>
      <c r="U212" s="10"/>
      <c r="V212" s="10"/>
      <c r="W212" s="10"/>
      <c r="X212" s="10"/>
      <c r="Y212" s="10"/>
      <c r="Z212" s="10"/>
      <c r="AA212" s="10">
        <v>17.773099999999999</v>
      </c>
      <c r="AB212" s="10"/>
      <c r="AC212" s="10">
        <v>10.762600000000001</v>
      </c>
      <c r="AD212" s="10">
        <v>9.3780000000000001</v>
      </c>
      <c r="AE212" s="10">
        <v>10.9102</v>
      </c>
      <c r="AF212" s="10">
        <v>10.3131</v>
      </c>
      <c r="AG212" s="10">
        <v>7.3914999999999997</v>
      </c>
      <c r="AH212" s="10">
        <v>10.366300000000001</v>
      </c>
      <c r="AI212" s="10">
        <v>18.781400000000001</v>
      </c>
      <c r="AJ212" s="10"/>
      <c r="AK212" s="10">
        <v>29.266500000000001</v>
      </c>
      <c r="AL212" s="10">
        <v>17.356100000000001</v>
      </c>
      <c r="AM212" s="10"/>
      <c r="AN212" s="10"/>
      <c r="AO212" s="10">
        <v>5.2161</v>
      </c>
      <c r="AP212" s="10">
        <v>4.8925999999999998</v>
      </c>
      <c r="AQ212" s="10"/>
      <c r="AR212" s="10"/>
      <c r="AS212" s="10">
        <v>23.6631</v>
      </c>
      <c r="AT212" s="10"/>
      <c r="AU212" s="10"/>
      <c r="AV212" s="10"/>
      <c r="AY212">
        <v>10.6029</v>
      </c>
      <c r="BA212">
        <v>21.645900000000001</v>
      </c>
      <c r="BB212">
        <v>13.516400000000001</v>
      </c>
      <c r="BD212">
        <v>13.1723</v>
      </c>
    </row>
    <row r="213" spans="1:56">
      <c r="A213" s="4">
        <v>44885</v>
      </c>
      <c r="B213">
        <v>41.513500000000001</v>
      </c>
      <c r="D213">
        <v>80.578199999999995</v>
      </c>
      <c r="J213">
        <v>48.685400000000001</v>
      </c>
      <c r="K213" s="10">
        <v>18.8657</v>
      </c>
      <c r="L213">
        <v>8.548</v>
      </c>
      <c r="N213">
        <v>10.033300000000001</v>
      </c>
      <c r="O213">
        <v>15.063499999999999</v>
      </c>
      <c r="P213" s="10">
        <v>40.003799999999998</v>
      </c>
      <c r="Q213" s="10">
        <v>28.240300000000001</v>
      </c>
      <c r="R213" s="10"/>
      <c r="S213" s="10">
        <v>93.508899999999997</v>
      </c>
      <c r="T213" s="10"/>
      <c r="U213" s="10"/>
      <c r="V213" s="10"/>
      <c r="W213" s="10"/>
      <c r="X213" s="10"/>
      <c r="Y213" s="10"/>
      <c r="Z213" s="10"/>
      <c r="AA213" s="10">
        <v>17.796099999999999</v>
      </c>
      <c r="AB213" s="10"/>
      <c r="AC213" s="10">
        <v>10.766299999999999</v>
      </c>
      <c r="AD213" s="10">
        <v>9.7078000000000007</v>
      </c>
      <c r="AE213" s="10">
        <v>11.5191</v>
      </c>
      <c r="AF213" s="10">
        <v>10.472899999999999</v>
      </c>
      <c r="AG213" s="10">
        <v>7.5091000000000001</v>
      </c>
      <c r="AH213" s="10">
        <v>10.710800000000001</v>
      </c>
      <c r="AI213" s="10">
        <v>18.436</v>
      </c>
      <c r="AJ213" s="10"/>
      <c r="AK213" s="10">
        <v>29.058499999999999</v>
      </c>
      <c r="AL213" s="10">
        <v>17.040099999999999</v>
      </c>
      <c r="AM213" s="10"/>
      <c r="AN213" s="10"/>
      <c r="AO213" s="10">
        <v>5.7534999999999998</v>
      </c>
      <c r="AP213" s="10">
        <v>4.9016000000000002</v>
      </c>
      <c r="AQ213" s="10"/>
      <c r="AR213" s="10"/>
      <c r="AS213" s="10">
        <v>23.349399999999999</v>
      </c>
      <c r="AT213" s="10"/>
      <c r="AU213" s="10"/>
      <c r="AV213" s="10"/>
      <c r="AY213">
        <v>10.638199999999999</v>
      </c>
      <c r="BA213">
        <v>21.502700000000001</v>
      </c>
      <c r="BB213">
        <v>13.4315</v>
      </c>
      <c r="BD213">
        <v>13.244199999999999</v>
      </c>
    </row>
    <row r="214" spans="1:56">
      <c r="A214" s="4">
        <v>44891</v>
      </c>
      <c r="B214">
        <v>41.606099999999998</v>
      </c>
      <c r="D214">
        <v>80.747500000000002</v>
      </c>
      <c r="J214">
        <v>48.7288</v>
      </c>
      <c r="K214" s="10">
        <v>18.894300000000001</v>
      </c>
      <c r="L214">
        <v>8.6595999999999993</v>
      </c>
      <c r="N214">
        <v>9.9634</v>
      </c>
      <c r="O214">
        <v>15.414999999999999</v>
      </c>
      <c r="P214" s="10">
        <v>40.062199999999997</v>
      </c>
      <c r="Q214" s="10">
        <v>28.271799999999999</v>
      </c>
      <c r="R214" s="10"/>
      <c r="S214" s="10">
        <v>93.610900000000001</v>
      </c>
      <c r="T214" s="10"/>
      <c r="U214" s="10"/>
      <c r="V214" s="10"/>
      <c r="W214" s="10"/>
      <c r="X214" s="10"/>
      <c r="Y214" s="10"/>
      <c r="Z214" s="10"/>
      <c r="AA214" s="10">
        <v>18.055299999999999</v>
      </c>
      <c r="AB214" s="10"/>
      <c r="AC214" s="10">
        <v>10.9556</v>
      </c>
      <c r="AD214" s="10">
        <v>9.5027000000000008</v>
      </c>
      <c r="AE214" s="10">
        <v>11.5397</v>
      </c>
      <c r="AF214" s="10">
        <v>10.4443</v>
      </c>
      <c r="AG214" s="10">
        <v>7.4904000000000002</v>
      </c>
      <c r="AH214" s="10">
        <v>10.642799999999999</v>
      </c>
      <c r="AI214" s="10">
        <v>18.496200000000002</v>
      </c>
      <c r="AJ214" s="10"/>
      <c r="AK214" s="10">
        <v>29.117100000000001</v>
      </c>
      <c r="AL214" s="10">
        <v>17.106000000000002</v>
      </c>
      <c r="AM214" s="10"/>
      <c r="AN214" s="10"/>
      <c r="AO214" s="10">
        <v>5.5788000000000002</v>
      </c>
      <c r="AP214">
        <v>4.8550000000000004</v>
      </c>
      <c r="AS214">
        <v>23.285799999999998</v>
      </c>
      <c r="AY214">
        <v>10.7249</v>
      </c>
      <c r="BA214">
        <v>21.806100000000001</v>
      </c>
      <c r="BB214">
        <v>13.6189</v>
      </c>
      <c r="BD214">
        <v>13.477499999999999</v>
      </c>
    </row>
    <row r="215" spans="1:56">
      <c r="A215" s="4">
        <v>44898</v>
      </c>
      <c r="B215">
        <v>41.947000000000003</v>
      </c>
      <c r="D215">
        <v>81.380899999999997</v>
      </c>
      <c r="J215">
        <v>49.313099999999999</v>
      </c>
      <c r="K215" s="10">
        <v>19.122</v>
      </c>
      <c r="L215">
        <v>8.923</v>
      </c>
      <c r="N215">
        <v>10.4122</v>
      </c>
      <c r="O215">
        <v>15.250500000000001</v>
      </c>
      <c r="P215" s="10">
        <v>40.5456</v>
      </c>
      <c r="Q215" s="10">
        <v>28.509</v>
      </c>
      <c r="R215" s="10"/>
      <c r="S215" s="10">
        <v>94.651200000000003</v>
      </c>
      <c r="T215" s="10"/>
      <c r="U215" s="10"/>
      <c r="V215" s="10"/>
      <c r="W215" s="10"/>
      <c r="X215" s="10"/>
      <c r="Y215" s="10"/>
      <c r="Z215" s="10"/>
      <c r="AA215" s="10">
        <v>17.983000000000001</v>
      </c>
      <c r="AB215" s="10"/>
      <c r="AC215" s="10">
        <v>11.0984</v>
      </c>
      <c r="AD215">
        <v>9.6106999999999996</v>
      </c>
      <c r="AE215" s="10">
        <v>11.738200000000001</v>
      </c>
      <c r="AF215" s="10">
        <v>11.577</v>
      </c>
      <c r="AG215" s="10">
        <v>8.2657000000000007</v>
      </c>
      <c r="AH215" s="10">
        <v>11.007199999999999</v>
      </c>
      <c r="AI215" s="10">
        <v>18.828499999999998</v>
      </c>
      <c r="AJ215" s="10"/>
      <c r="AK215" s="10">
        <v>29.275099999999998</v>
      </c>
      <c r="AL215" s="10">
        <v>17.260300000000001</v>
      </c>
      <c r="AM215" s="10"/>
      <c r="AN215" s="10"/>
      <c r="AO215" s="10">
        <v>5.9347000000000003</v>
      </c>
      <c r="AP215" s="10">
        <v>5.0758000000000001</v>
      </c>
      <c r="AQ215" s="10"/>
      <c r="AR215" s="10"/>
      <c r="AS215" s="10">
        <v>23.678999999999998</v>
      </c>
      <c r="AT215" s="10"/>
      <c r="AU215" s="10"/>
      <c r="AV215" s="10"/>
      <c r="AY215">
        <v>10.8933</v>
      </c>
      <c r="BA215">
        <v>21.988499999999998</v>
      </c>
      <c r="BB215">
        <v>13.737</v>
      </c>
      <c r="BD215">
        <v>13.517300000000001</v>
      </c>
    </row>
    <row r="216" spans="1:56">
      <c r="A216" s="4">
        <v>44905</v>
      </c>
      <c r="B216">
        <v>41.596299999999999</v>
      </c>
      <c r="D216">
        <v>80.686899999999994</v>
      </c>
      <c r="J216">
        <v>48.961599999999997</v>
      </c>
      <c r="K216" s="10">
        <v>18.963100000000001</v>
      </c>
      <c r="L216">
        <v>8.5325000000000006</v>
      </c>
      <c r="N216">
        <v>10.4641</v>
      </c>
      <c r="O216">
        <v>14.7841</v>
      </c>
      <c r="P216" s="10">
        <v>40.311900000000001</v>
      </c>
      <c r="Q216" s="10">
        <v>28.389199999999999</v>
      </c>
      <c r="R216" s="10"/>
      <c r="S216" s="10">
        <v>94.129900000000006</v>
      </c>
      <c r="T216" s="10"/>
      <c r="U216" s="10"/>
      <c r="V216" s="10"/>
      <c r="W216" s="10"/>
      <c r="X216" s="10"/>
      <c r="Y216" s="10"/>
      <c r="Z216" s="10"/>
      <c r="AA216" s="10">
        <v>17.369</v>
      </c>
      <c r="AB216" s="10"/>
      <c r="AC216" s="10">
        <v>10.8429</v>
      </c>
      <c r="AD216" s="10">
        <v>9.3651</v>
      </c>
      <c r="AE216" s="10">
        <v>11.379200000000001</v>
      </c>
      <c r="AF216" s="10">
        <v>11.665100000000001</v>
      </c>
      <c r="AG216" s="10">
        <v>8.3256999999999994</v>
      </c>
      <c r="AH216" s="10">
        <v>11.5327</v>
      </c>
      <c r="AI216" s="10">
        <v>18.8245</v>
      </c>
      <c r="AJ216" s="10"/>
      <c r="AK216" s="10">
        <v>29.252600000000001</v>
      </c>
      <c r="AL216" s="10">
        <v>17.141500000000001</v>
      </c>
      <c r="AM216" s="10"/>
      <c r="AN216" s="10"/>
      <c r="AO216" s="10">
        <v>6.2397999999999998</v>
      </c>
      <c r="AP216" s="10">
        <v>4.7561999999999998</v>
      </c>
      <c r="AQ216" s="10"/>
      <c r="AR216" s="10"/>
      <c r="AS216" s="10">
        <v>23.212599999999998</v>
      </c>
      <c r="AT216" s="10"/>
      <c r="AU216" s="10"/>
      <c r="AV216" s="10"/>
      <c r="AY216">
        <v>10.498900000000001</v>
      </c>
      <c r="BA216">
        <v>21.293900000000001</v>
      </c>
      <c r="BB216">
        <v>13.3089</v>
      </c>
      <c r="BD216">
        <v>13.4267</v>
      </c>
    </row>
    <row r="217" spans="1:56">
      <c r="A217" s="4">
        <v>44912</v>
      </c>
      <c r="B217">
        <v>41.601999999999997</v>
      </c>
      <c r="D217">
        <v>80.584400000000002</v>
      </c>
      <c r="J217">
        <v>49.061300000000003</v>
      </c>
      <c r="K217" s="10">
        <v>19.079000000000001</v>
      </c>
      <c r="L217">
        <v>8.6458999999999993</v>
      </c>
      <c r="N217">
        <v>10.6111</v>
      </c>
      <c r="O217">
        <v>15.1112</v>
      </c>
      <c r="P217" s="10">
        <v>39.926000000000002</v>
      </c>
      <c r="Q217" s="10">
        <v>28.208300000000001</v>
      </c>
      <c r="R217" s="10"/>
      <c r="S217" s="10">
        <v>93.151300000000006</v>
      </c>
      <c r="T217" s="10"/>
      <c r="U217" s="10"/>
      <c r="V217" s="10"/>
      <c r="W217" s="10"/>
      <c r="X217" s="10"/>
      <c r="Y217" s="10"/>
      <c r="Z217" s="10"/>
      <c r="AA217" s="10">
        <v>16.944900000000001</v>
      </c>
      <c r="AB217" s="10"/>
      <c r="AC217" s="10">
        <v>10.667400000000001</v>
      </c>
      <c r="AD217" s="10">
        <v>9.4255999999999993</v>
      </c>
      <c r="AE217" s="10">
        <v>11.559100000000001</v>
      </c>
      <c r="AF217" s="10">
        <v>11.641500000000001</v>
      </c>
      <c r="AG217" s="10">
        <v>8.3092000000000006</v>
      </c>
      <c r="AH217" s="10">
        <v>11.4673</v>
      </c>
      <c r="AI217" s="10">
        <v>18.559699999999999</v>
      </c>
      <c r="AJ217" s="10"/>
      <c r="AK217" s="10">
        <v>29.299099999999999</v>
      </c>
      <c r="AL217" s="10">
        <v>17.185600000000001</v>
      </c>
      <c r="AM217" s="10"/>
      <c r="AN217" s="10"/>
      <c r="AO217" s="10">
        <v>6.1711999999999998</v>
      </c>
      <c r="AP217" s="10">
        <v>4.7850000000000001</v>
      </c>
      <c r="AQ217" s="10"/>
      <c r="AR217" s="10"/>
      <c r="AS217" s="10">
        <v>23.107199999999999</v>
      </c>
      <c r="AT217" s="10"/>
      <c r="AU217" s="10"/>
      <c r="AV217" s="10"/>
      <c r="AY217">
        <v>10.3322</v>
      </c>
      <c r="BA217">
        <v>20.558499999999999</v>
      </c>
      <c r="BB217">
        <v>13.043200000000001</v>
      </c>
      <c r="BD217">
        <v>13.0106</v>
      </c>
    </row>
    <row r="218" spans="1:56">
      <c r="A218" s="4">
        <v>44926</v>
      </c>
      <c r="B218">
        <v>42.824100000000001</v>
      </c>
      <c r="D218">
        <v>83.0184</v>
      </c>
      <c r="J218">
        <v>50.306899999999999</v>
      </c>
      <c r="K218" s="10">
        <v>19.613900000000001</v>
      </c>
      <c r="L218">
        <v>7.9797000000000002</v>
      </c>
      <c r="N218">
        <v>10.4611</v>
      </c>
      <c r="O218">
        <v>14.3508</v>
      </c>
      <c r="P218" s="10">
        <v>40.822600000000001</v>
      </c>
      <c r="Q218" s="10">
        <v>28.704799999999999</v>
      </c>
      <c r="R218" s="10"/>
      <c r="S218" s="10">
        <v>95.162099999999995</v>
      </c>
      <c r="T218" s="10"/>
      <c r="U218" s="10"/>
      <c r="V218" s="10"/>
      <c r="W218" s="10"/>
      <c r="X218" s="10"/>
      <c r="Y218" s="10"/>
      <c r="Z218" s="10"/>
      <c r="AA218" s="10">
        <v>16.329000000000001</v>
      </c>
      <c r="AB218" s="10"/>
      <c r="AC218" s="10">
        <v>10.593400000000001</v>
      </c>
      <c r="AD218" s="10">
        <v>9.0165000000000006</v>
      </c>
      <c r="AE218" s="10">
        <v>11.0283</v>
      </c>
      <c r="AF218" s="10">
        <v>11.028</v>
      </c>
      <c r="AG218" s="10">
        <v>7.8878000000000004</v>
      </c>
      <c r="AH218" s="10">
        <v>11.303699999999999</v>
      </c>
      <c r="AI218" s="10">
        <v>18.845500000000001</v>
      </c>
      <c r="AJ218" s="10"/>
      <c r="AK218" s="10">
        <v>29.551600000000001</v>
      </c>
      <c r="AL218" s="10">
        <v>17.607500000000002</v>
      </c>
      <c r="AM218" s="10"/>
      <c r="AN218" s="10"/>
      <c r="AO218" s="10">
        <v>6.1860999999999997</v>
      </c>
      <c r="AP218" s="10">
        <v>4.4657999999999998</v>
      </c>
      <c r="AQ218" s="10"/>
      <c r="AR218" s="10"/>
      <c r="AS218" s="10">
        <v>23.869700000000002</v>
      </c>
      <c r="AT218" s="10"/>
      <c r="AU218" s="10"/>
      <c r="AV218" s="10"/>
      <c r="AY218">
        <v>10.036300000000001</v>
      </c>
      <c r="BA218">
        <v>20.4634</v>
      </c>
      <c r="BB218">
        <v>12.9815</v>
      </c>
      <c r="BD218">
        <v>13.1713</v>
      </c>
    </row>
    <row r="219" spans="1:56">
      <c r="A219" s="4">
        <v>44933</v>
      </c>
      <c r="B219">
        <v>43.538600000000002</v>
      </c>
      <c r="D219">
        <v>84.328800000000001</v>
      </c>
      <c r="J219">
        <v>50.927300000000002</v>
      </c>
      <c r="K219" s="10">
        <v>19.8094</v>
      </c>
      <c r="L219">
        <v>7.9165999999999999</v>
      </c>
      <c r="N219">
        <v>10.9635</v>
      </c>
      <c r="O219">
        <v>14.7196</v>
      </c>
      <c r="P219" s="10">
        <v>41.119599999999998</v>
      </c>
      <c r="Q219" s="10">
        <v>28.886600000000001</v>
      </c>
      <c r="R219" s="10"/>
      <c r="S219" s="10">
        <v>95.785799999999995</v>
      </c>
      <c r="T219" s="10"/>
      <c r="U219" s="10"/>
      <c r="V219" s="10"/>
      <c r="W219" s="10"/>
      <c r="X219" s="10"/>
      <c r="Y219" s="10"/>
      <c r="Z219" s="10"/>
      <c r="AA219" s="10">
        <v>16.0029</v>
      </c>
      <c r="AB219" s="10"/>
      <c r="AC219" s="10">
        <v>10.5336</v>
      </c>
      <c r="AD219" s="10">
        <v>9.1341999999999999</v>
      </c>
      <c r="AE219" s="10">
        <v>11.394600000000001</v>
      </c>
      <c r="AF219" s="10">
        <v>11.4132</v>
      </c>
      <c r="AG219" s="10">
        <v>8.1457999999999995</v>
      </c>
      <c r="AH219" s="10">
        <v>11.6104</v>
      </c>
      <c r="AI219" s="10">
        <v>18.8767</v>
      </c>
      <c r="AJ219" s="10"/>
      <c r="AK219" s="10">
        <v>29.684699999999999</v>
      </c>
      <c r="AL219" s="10">
        <v>17.877300000000002</v>
      </c>
      <c r="AM219" s="10"/>
      <c r="AN219" s="10"/>
      <c r="AO219" s="10">
        <v>6.5780000000000003</v>
      </c>
      <c r="AP219" s="10">
        <v>4.4076000000000004</v>
      </c>
      <c r="AQ219" s="10"/>
      <c r="AR219" s="10"/>
      <c r="AS219" s="10">
        <v>23.990400000000001</v>
      </c>
      <c r="AT219" s="10"/>
      <c r="AU219" s="10"/>
      <c r="AV219" s="10"/>
      <c r="AY219">
        <v>9.9555000000000007</v>
      </c>
      <c r="BA219">
        <v>20.706099999999999</v>
      </c>
      <c r="BB219">
        <v>13.139099999999999</v>
      </c>
      <c r="BD219">
        <v>13.526</v>
      </c>
    </row>
    <row r="220" spans="1:56">
      <c r="A220" s="4">
        <v>44940</v>
      </c>
      <c r="B220">
        <v>43.150500000000001</v>
      </c>
      <c r="D220">
        <v>83.609800000000007</v>
      </c>
      <c r="J220">
        <v>51.054299999999998</v>
      </c>
      <c r="K220" s="10">
        <v>19.729199999999999</v>
      </c>
      <c r="L220">
        <v>8.3687000000000005</v>
      </c>
      <c r="N220">
        <v>11.2822</v>
      </c>
      <c r="O220">
        <v>15.087300000000001</v>
      </c>
      <c r="P220" s="10">
        <v>41.3962</v>
      </c>
      <c r="Q220" s="10">
        <v>29.078399999999998</v>
      </c>
      <c r="R220" s="10"/>
      <c r="S220" s="10">
        <v>96.530299999999997</v>
      </c>
      <c r="T220" s="10"/>
      <c r="U220" s="10"/>
      <c r="V220" s="10"/>
      <c r="W220" s="10"/>
      <c r="X220" s="10"/>
      <c r="Y220" s="10"/>
      <c r="Z220" s="10"/>
      <c r="AA220" s="10">
        <v>16.962299999999999</v>
      </c>
      <c r="AB220" s="10"/>
      <c r="AC220" s="10">
        <v>10.994400000000001</v>
      </c>
      <c r="AD220" s="10">
        <v>9.3568999999999996</v>
      </c>
      <c r="AE220" s="10">
        <v>11.6891</v>
      </c>
      <c r="AF220" s="10">
        <v>11.2142</v>
      </c>
      <c r="AG220" s="10">
        <v>8.0047999999999995</v>
      </c>
      <c r="AH220" s="10">
        <v>11.935499999999999</v>
      </c>
      <c r="AI220" s="10">
        <v>19.0839</v>
      </c>
      <c r="AJ220" s="10"/>
      <c r="AK220" s="10">
        <v>29.728000000000002</v>
      </c>
      <c r="AL220" s="10">
        <v>17.755500000000001</v>
      </c>
      <c r="AM220" s="10"/>
      <c r="AN220" s="10"/>
      <c r="AO220" s="10">
        <v>6.6547000000000001</v>
      </c>
      <c r="AP220" s="10">
        <v>4.6325000000000003</v>
      </c>
      <c r="AQ220" s="10"/>
      <c r="AR220" s="10"/>
      <c r="AS220" s="10">
        <v>24.139700000000001</v>
      </c>
      <c r="AT220" s="10"/>
      <c r="AU220" s="10"/>
      <c r="AV220" s="10"/>
      <c r="AY220">
        <v>10.41</v>
      </c>
      <c r="BA220">
        <v>21.155000000000001</v>
      </c>
      <c r="BB220">
        <v>13.4244</v>
      </c>
      <c r="BD220">
        <v>13.7532</v>
      </c>
    </row>
    <row r="221" spans="1:56">
      <c r="A221" s="4">
        <v>44947</v>
      </c>
      <c r="B221">
        <v>42.5563</v>
      </c>
      <c r="D221">
        <v>82.489800000000002</v>
      </c>
      <c r="J221">
        <v>50.396900000000002</v>
      </c>
      <c r="K221" s="10">
        <v>19.5017</v>
      </c>
      <c r="L221">
        <v>8.6501000000000001</v>
      </c>
      <c r="N221">
        <v>11.417400000000001</v>
      </c>
      <c r="O221">
        <v>15.452</v>
      </c>
      <c r="P221" s="10">
        <v>41.213299999999997</v>
      </c>
      <c r="Q221" s="10">
        <v>28.9269</v>
      </c>
      <c r="R221" s="10"/>
      <c r="S221" s="10">
        <v>96.094099999999997</v>
      </c>
      <c r="T221" s="10"/>
      <c r="U221" s="10"/>
      <c r="V221" s="10"/>
      <c r="W221" s="10"/>
      <c r="X221" s="10"/>
      <c r="Y221" s="10"/>
      <c r="Z221" s="10"/>
      <c r="AA221" s="10">
        <v>16.713799999999999</v>
      </c>
      <c r="AB221" s="10"/>
      <c r="AC221" s="10">
        <v>10.861499999999999</v>
      </c>
      <c r="AD221" s="10">
        <v>9.4513999999999996</v>
      </c>
      <c r="AE221" s="10">
        <v>11.9938</v>
      </c>
      <c r="AF221" s="10">
        <v>11.695499999999999</v>
      </c>
      <c r="AG221" s="10">
        <v>8.3407</v>
      </c>
      <c r="AH221" s="10">
        <v>12.0419</v>
      </c>
      <c r="AI221" s="10">
        <v>19.089700000000001</v>
      </c>
      <c r="AJ221" s="10"/>
      <c r="AK221" s="10">
        <v>29.544599999999999</v>
      </c>
      <c r="AL221" s="10">
        <v>17.533999999999999</v>
      </c>
      <c r="AM221" s="10"/>
      <c r="AN221" s="10"/>
      <c r="AO221" s="10">
        <v>6.7415000000000003</v>
      </c>
      <c r="AP221" s="10">
        <v>4.7091000000000003</v>
      </c>
      <c r="AQ221" s="10"/>
      <c r="AR221" s="10"/>
      <c r="AS221" s="10">
        <v>24.036200000000001</v>
      </c>
      <c r="AT221" s="10"/>
      <c r="AU221" s="10"/>
      <c r="AV221" s="10"/>
      <c r="AY221">
        <v>10.2174</v>
      </c>
      <c r="BA221">
        <v>21.008299999999998</v>
      </c>
      <c r="BB221">
        <v>13.3322</v>
      </c>
      <c r="BD221">
        <v>13.7034</v>
      </c>
    </row>
    <row r="222" spans="1:56">
      <c r="A222" s="4">
        <v>44954</v>
      </c>
      <c r="B222">
        <v>42.785699999999999</v>
      </c>
      <c r="D222">
        <v>82.914100000000005</v>
      </c>
      <c r="J222">
        <v>50.914900000000003</v>
      </c>
      <c r="K222" s="10">
        <v>19.584399999999999</v>
      </c>
      <c r="L222">
        <v>9.1514000000000006</v>
      </c>
      <c r="N222">
        <v>11.760899999999999</v>
      </c>
      <c r="O222">
        <v>15.368499999999999</v>
      </c>
      <c r="P222" s="10">
        <v>41.1449</v>
      </c>
      <c r="Q222" s="10">
        <v>28.8766</v>
      </c>
      <c r="R222" s="10"/>
      <c r="S222" s="10">
        <v>95.814800000000005</v>
      </c>
      <c r="T222" s="10"/>
      <c r="U222" s="10"/>
      <c r="V222" s="10"/>
      <c r="W222" s="10"/>
      <c r="X222" s="10"/>
      <c r="Y222" s="10"/>
      <c r="Z222" s="10"/>
      <c r="AA222" s="10">
        <v>17.701000000000001</v>
      </c>
      <c r="AB222" s="10"/>
      <c r="AC222" s="10">
        <v>11.1877</v>
      </c>
      <c r="AD222" s="10">
        <v>9.5835000000000008</v>
      </c>
      <c r="AE222" s="10">
        <v>11.9323</v>
      </c>
      <c r="AF222" s="10">
        <v>11.781000000000001</v>
      </c>
      <c r="AG222" s="10">
        <v>8.4007000000000005</v>
      </c>
      <c r="AH222" s="10">
        <v>12.0419</v>
      </c>
      <c r="AI222" s="10">
        <v>18.9925</v>
      </c>
      <c r="AJ222" s="10"/>
      <c r="AK222" s="10">
        <v>29.598700000000001</v>
      </c>
      <c r="AL222" s="10">
        <v>17.643999999999998</v>
      </c>
      <c r="AM222" s="10"/>
      <c r="AN222" s="10"/>
      <c r="AO222" s="10">
        <v>7.0026999999999999</v>
      </c>
      <c r="AP222" s="10">
        <v>4.9789000000000003</v>
      </c>
      <c r="AQ222" s="10"/>
      <c r="AR222" s="10"/>
      <c r="AS222" s="10">
        <v>24.072500000000002</v>
      </c>
      <c r="AT222" s="10"/>
      <c r="AU222" s="10"/>
      <c r="AV222" s="10"/>
      <c r="AY222">
        <v>10.712999999999999</v>
      </c>
      <c r="BA222">
        <v>21.4176</v>
      </c>
      <c r="BB222">
        <v>13.6228</v>
      </c>
      <c r="BD222">
        <v>13.8302</v>
      </c>
    </row>
    <row r="223" spans="1:56">
      <c r="A223" s="4">
        <v>44961</v>
      </c>
      <c r="B223">
        <v>42.851500000000001</v>
      </c>
      <c r="D223">
        <v>83.004999999999995</v>
      </c>
      <c r="J223">
        <v>50.762099999999997</v>
      </c>
      <c r="K223" s="10">
        <v>19.5641</v>
      </c>
      <c r="L223">
        <v>9.7437000000000005</v>
      </c>
      <c r="N223">
        <v>11.653</v>
      </c>
      <c r="O223">
        <v>15.8482</v>
      </c>
      <c r="P223" s="10">
        <v>41.221200000000003</v>
      </c>
      <c r="Q223" s="10">
        <v>28.918600000000001</v>
      </c>
      <c r="R223" s="10"/>
      <c r="S223" s="10">
        <v>96.113100000000003</v>
      </c>
      <c r="T223" s="10"/>
      <c r="U223" s="10"/>
      <c r="V223" s="10"/>
      <c r="W223" s="10"/>
      <c r="X223" s="10"/>
      <c r="Y223" s="10"/>
      <c r="Z223" s="10"/>
      <c r="AA223" s="10">
        <v>18.7043</v>
      </c>
      <c r="AB223" s="10"/>
      <c r="AC223" s="10">
        <v>11.367599999999999</v>
      </c>
      <c r="AD223" s="10">
        <v>9.9111999999999991</v>
      </c>
      <c r="AE223" s="10">
        <v>12.2537</v>
      </c>
      <c r="AF223" s="10">
        <v>11.381500000000001</v>
      </c>
      <c r="AG223" s="10">
        <v>8.1233000000000004</v>
      </c>
      <c r="AH223" s="10">
        <v>11.8202</v>
      </c>
      <c r="AI223" s="10">
        <v>19.237100000000002</v>
      </c>
      <c r="AJ223" s="10"/>
      <c r="AK223" s="10">
        <v>29.609000000000002</v>
      </c>
      <c r="AL223" s="10">
        <v>17.6051</v>
      </c>
      <c r="AM223" s="10"/>
      <c r="AN223" s="10"/>
      <c r="AO223" s="10">
        <v>6.7614999999999998</v>
      </c>
      <c r="AP223" s="10">
        <v>5.4560000000000004</v>
      </c>
      <c r="AQ223" s="10"/>
      <c r="AR223" s="10"/>
      <c r="AS223" s="10">
        <v>24.284500000000001</v>
      </c>
      <c r="AT223" s="10"/>
      <c r="AU223" s="10"/>
      <c r="AV223" s="10"/>
      <c r="AY223">
        <v>11.134499999999999</v>
      </c>
      <c r="BA223">
        <v>21.989899999999999</v>
      </c>
      <c r="BB223">
        <v>13.821999999999999</v>
      </c>
      <c r="BD223">
        <v>14.001899999999999</v>
      </c>
    </row>
    <row r="224" spans="1:56">
      <c r="A224" s="4">
        <v>44968</v>
      </c>
      <c r="B224">
        <v>42.439799999999998</v>
      </c>
      <c r="D224">
        <v>82.187399999999997</v>
      </c>
      <c r="J224">
        <v>50.164700000000003</v>
      </c>
      <c r="K224" s="10">
        <v>19.292400000000001</v>
      </c>
      <c r="L224">
        <v>9.7053999999999991</v>
      </c>
      <c r="N224">
        <v>11.5382</v>
      </c>
      <c r="O224">
        <v>16.0105</v>
      </c>
      <c r="P224" s="10">
        <v>40.519300000000001</v>
      </c>
      <c r="Q224" s="10">
        <v>28.5273</v>
      </c>
      <c r="R224" s="10"/>
      <c r="S224" s="10">
        <v>94.4452</v>
      </c>
      <c r="T224" s="10"/>
      <c r="U224" s="10"/>
      <c r="V224" s="10"/>
      <c r="W224" s="10"/>
      <c r="X224" s="10"/>
      <c r="Y224" s="10"/>
      <c r="Z224" s="10"/>
      <c r="AA224" s="10">
        <v>18.163699999999999</v>
      </c>
      <c r="AB224" s="10"/>
      <c r="AC224" s="10">
        <v>11.15</v>
      </c>
      <c r="AD224" s="10">
        <v>9.8995999999999995</v>
      </c>
      <c r="AE224" s="10">
        <v>12.380599999999999</v>
      </c>
      <c r="AF224" s="10">
        <v>11.156700000000001</v>
      </c>
      <c r="AG224" s="10">
        <v>7.9631999999999996</v>
      </c>
      <c r="AH224" s="10">
        <v>11.6873</v>
      </c>
      <c r="AI224" s="10">
        <v>18.966000000000001</v>
      </c>
      <c r="AJ224" s="10"/>
      <c r="AK224" s="10">
        <v>29.441700000000001</v>
      </c>
      <c r="AL224" s="10">
        <v>17.426300000000001</v>
      </c>
      <c r="AM224" s="10"/>
      <c r="AN224" s="10"/>
      <c r="AO224" s="10">
        <v>6.6460999999999997</v>
      </c>
      <c r="AP224" s="10">
        <v>5.3276000000000003</v>
      </c>
      <c r="AQ224" s="10"/>
      <c r="AR224" s="10"/>
      <c r="AS224" s="10">
        <v>23.984500000000001</v>
      </c>
      <c r="AT224" s="10"/>
      <c r="AU224" s="10"/>
      <c r="AV224" s="10"/>
      <c r="AY224">
        <v>10.886200000000001</v>
      </c>
      <c r="BA224">
        <v>21.528099999999998</v>
      </c>
      <c r="BB224">
        <v>13.6599</v>
      </c>
      <c r="BD224">
        <v>14.0396</v>
      </c>
    </row>
    <row r="225" spans="1:56">
      <c r="A225" s="4">
        <v>44975</v>
      </c>
      <c r="B225">
        <v>41.875</v>
      </c>
      <c r="D225">
        <v>81.135800000000003</v>
      </c>
      <c r="J225">
        <v>49.395600000000002</v>
      </c>
      <c r="K225" s="10">
        <v>19.1417</v>
      </c>
      <c r="L225">
        <v>9.5327999999999999</v>
      </c>
      <c r="N225">
        <v>11.190300000000001</v>
      </c>
      <c r="O225">
        <v>16.2621</v>
      </c>
      <c r="P225" s="10">
        <v>39.750399999999999</v>
      </c>
      <c r="Q225" s="10">
        <v>28.090199999999999</v>
      </c>
      <c r="R225" s="10"/>
      <c r="S225" s="10">
        <v>92.5749</v>
      </c>
      <c r="T225" s="10"/>
      <c r="U225" s="10"/>
      <c r="V225" s="10"/>
      <c r="W225" s="10"/>
      <c r="X225" s="10"/>
      <c r="Y225" s="10"/>
      <c r="Z225" s="10"/>
      <c r="AA225" s="10">
        <v>18.283000000000001</v>
      </c>
      <c r="AB225" s="10"/>
      <c r="AC225" s="10">
        <v>11.173299999999999</v>
      </c>
      <c r="AD225" s="10">
        <v>10.080500000000001</v>
      </c>
      <c r="AE225" s="10">
        <v>12.478</v>
      </c>
      <c r="AF225" s="10">
        <v>11.380599999999999</v>
      </c>
      <c r="AG225" s="10">
        <v>8.1181999999999999</v>
      </c>
      <c r="AH225" s="10">
        <v>11.516400000000001</v>
      </c>
      <c r="AI225" s="10">
        <v>18.317599999999999</v>
      </c>
      <c r="AJ225" s="10"/>
      <c r="AK225" s="10">
        <v>29.289899999999999</v>
      </c>
      <c r="AL225" s="10">
        <v>17.3337</v>
      </c>
      <c r="AM225" s="10"/>
      <c r="AN225" s="10"/>
      <c r="AO225" s="10">
        <v>6.4579000000000004</v>
      </c>
      <c r="AP225" s="10">
        <v>5.4617000000000004</v>
      </c>
      <c r="AS225">
        <v>24.067900000000002</v>
      </c>
      <c r="AY225">
        <v>10.839499999999999</v>
      </c>
      <c r="BA225">
        <v>21.590800000000002</v>
      </c>
      <c r="BB225">
        <v>13.700699999999999</v>
      </c>
      <c r="BD225">
        <v>14.154199999999999</v>
      </c>
    </row>
    <row r="226" spans="1:56">
      <c r="A226" s="4">
        <v>44982</v>
      </c>
      <c r="B226">
        <v>41.532200000000003</v>
      </c>
      <c r="D226">
        <v>80.467399999999998</v>
      </c>
      <c r="J226">
        <v>49.3872</v>
      </c>
      <c r="K226" s="10">
        <v>19.0381</v>
      </c>
      <c r="L226">
        <v>9.2546999999999997</v>
      </c>
      <c r="N226">
        <v>10.9</v>
      </c>
      <c r="O226">
        <v>16.050799999999999</v>
      </c>
      <c r="P226" s="10">
        <v>40.014699999999998</v>
      </c>
      <c r="Q226" s="10">
        <v>28.2409</v>
      </c>
      <c r="R226" s="10"/>
      <c r="S226" s="10">
        <v>93.232299999999995</v>
      </c>
      <c r="T226" s="10"/>
      <c r="U226" s="10"/>
      <c r="V226" s="10"/>
      <c r="W226" s="10"/>
      <c r="X226" s="10"/>
      <c r="Y226" s="10"/>
      <c r="Z226" s="10"/>
      <c r="AA226" s="10">
        <v>17.919</v>
      </c>
      <c r="AB226" s="10"/>
      <c r="AC226" s="10">
        <v>10.988099999999999</v>
      </c>
      <c r="AD226" s="10">
        <v>9.6594999999999995</v>
      </c>
      <c r="AE226" s="10">
        <v>12.307600000000001</v>
      </c>
      <c r="AF226" s="10">
        <v>11.1896</v>
      </c>
      <c r="AG226" s="10">
        <v>7.9861000000000004</v>
      </c>
      <c r="AH226" s="10">
        <v>11.473100000000001</v>
      </c>
      <c r="AI226" s="10">
        <v>18.3504</v>
      </c>
      <c r="AJ226" s="10"/>
      <c r="AK226" s="10">
        <v>29.222200000000001</v>
      </c>
      <c r="AL226" s="10">
        <v>17.144300000000001</v>
      </c>
      <c r="AM226" s="10"/>
      <c r="AN226" s="10"/>
      <c r="AO226" s="10">
        <v>6.2552000000000003</v>
      </c>
      <c r="AP226" s="10">
        <v>5.0472000000000001</v>
      </c>
      <c r="AS226">
        <v>23.663</v>
      </c>
      <c r="AY226">
        <v>10.5966</v>
      </c>
      <c r="BA226">
        <v>21.191099999999999</v>
      </c>
      <c r="BB226">
        <v>13.446400000000001</v>
      </c>
      <c r="BD226">
        <v>14.080500000000001</v>
      </c>
    </row>
    <row r="227" spans="1:56">
      <c r="A227" s="4">
        <v>44989</v>
      </c>
      <c r="B227">
        <v>40.8444</v>
      </c>
      <c r="D227">
        <v>79.188599999999994</v>
      </c>
      <c r="J227">
        <v>48.515700000000002</v>
      </c>
      <c r="K227" s="10">
        <v>18.7089</v>
      </c>
      <c r="L227">
        <v>8.9711999999999996</v>
      </c>
      <c r="N227">
        <v>10.939299999999999</v>
      </c>
      <c r="O227">
        <v>15.6602</v>
      </c>
      <c r="P227" s="10">
        <v>38.783000000000001</v>
      </c>
      <c r="Q227" s="10">
        <v>27.5276</v>
      </c>
      <c r="R227" s="10"/>
      <c r="S227" s="10">
        <v>90.3767</v>
      </c>
      <c r="T227" s="10"/>
      <c r="U227" s="10"/>
      <c r="V227" s="10"/>
      <c r="W227" s="10"/>
      <c r="X227" s="10"/>
      <c r="Y227" s="10"/>
      <c r="Z227" s="10"/>
      <c r="AA227" s="10">
        <v>17.427299999999999</v>
      </c>
      <c r="AB227" s="10"/>
      <c r="AC227" s="10">
        <v>10.928800000000001</v>
      </c>
      <c r="AD227" s="10">
        <v>9.4885000000000002</v>
      </c>
      <c r="AE227" s="10">
        <v>11.975</v>
      </c>
      <c r="AF227" s="10">
        <v>10.9321</v>
      </c>
      <c r="AG227" s="10">
        <v>7.8079000000000001</v>
      </c>
      <c r="AH227" s="10">
        <v>11.659800000000001</v>
      </c>
      <c r="AI227" s="10">
        <v>17.9252</v>
      </c>
      <c r="AJ227" s="10"/>
      <c r="AK227" s="10">
        <v>29.061900000000001</v>
      </c>
      <c r="AL227" s="10">
        <v>16.860900000000001</v>
      </c>
      <c r="AM227" s="10"/>
      <c r="AN227" s="10"/>
      <c r="AO227" s="10">
        <v>6.2511000000000001</v>
      </c>
      <c r="AP227" s="10">
        <v>4.8703000000000003</v>
      </c>
      <c r="AS227">
        <v>23.398900000000001</v>
      </c>
      <c r="AY227">
        <v>10.482799999999999</v>
      </c>
      <c r="BA227">
        <v>21.042000000000002</v>
      </c>
      <c r="BB227">
        <v>13.346</v>
      </c>
      <c r="BD227">
        <v>14.0398</v>
      </c>
    </row>
    <row r="228" spans="1:56">
      <c r="A228" s="4">
        <v>44996</v>
      </c>
      <c r="B228">
        <v>40.959099999999999</v>
      </c>
      <c r="D228">
        <v>79.378</v>
      </c>
      <c r="J228">
        <v>48.413499999999999</v>
      </c>
      <c r="K228" s="10">
        <v>18.667999999999999</v>
      </c>
      <c r="L228">
        <v>9.3470999999999993</v>
      </c>
      <c r="N228">
        <v>10.635899999999999</v>
      </c>
      <c r="O228">
        <v>15.7027</v>
      </c>
      <c r="P228" s="10">
        <v>38.6997</v>
      </c>
      <c r="Q228" s="10">
        <v>27.488700000000001</v>
      </c>
      <c r="R228" s="10"/>
      <c r="S228" s="10">
        <v>90.245800000000003</v>
      </c>
      <c r="T228" s="10"/>
      <c r="U228" s="10"/>
      <c r="V228" s="10"/>
      <c r="W228" s="10"/>
      <c r="X228" s="10"/>
      <c r="Y228" s="10"/>
      <c r="Z228" s="10"/>
      <c r="AA228" s="10">
        <v>17.371700000000001</v>
      </c>
      <c r="AB228" s="10"/>
      <c r="AC228" s="10">
        <v>10.7645</v>
      </c>
      <c r="AD228" s="10">
        <v>9.6712000000000007</v>
      </c>
      <c r="AE228" s="10">
        <v>12.0258</v>
      </c>
      <c r="AF228" s="10">
        <v>11.3668</v>
      </c>
      <c r="AG228" s="10">
        <v>8.1120000000000001</v>
      </c>
      <c r="AH228" s="10">
        <v>11.163399999999999</v>
      </c>
      <c r="AI228" s="10">
        <v>18.258500000000002</v>
      </c>
      <c r="AJ228" s="10"/>
      <c r="AK228" s="10">
        <v>29.080100000000002</v>
      </c>
      <c r="AL228" s="10">
        <v>16.779399999999999</v>
      </c>
      <c r="AM228" s="10"/>
      <c r="AN228" s="10"/>
      <c r="AO228" s="10">
        <v>5.9771999999999998</v>
      </c>
      <c r="AP228" s="10">
        <v>5.0788000000000002</v>
      </c>
      <c r="AS228">
        <v>23.450600000000001</v>
      </c>
      <c r="AY228">
        <v>10.365600000000001</v>
      </c>
      <c r="BA228">
        <v>20.712599999999998</v>
      </c>
      <c r="BB228">
        <v>13.1402</v>
      </c>
      <c r="BD228">
        <v>14.023300000000001</v>
      </c>
    </row>
    <row r="229" spans="1:56">
      <c r="A229" s="4">
        <v>45003</v>
      </c>
      <c r="B229">
        <v>40.4465</v>
      </c>
      <c r="D229">
        <v>78.423699999999997</v>
      </c>
      <c r="J229">
        <v>47.572899999999997</v>
      </c>
      <c r="K229" s="10">
        <v>18.348299999999998</v>
      </c>
      <c r="L229">
        <v>9.2440999999999995</v>
      </c>
      <c r="N229">
        <v>10.3043</v>
      </c>
      <c r="O229">
        <v>15.239100000000001</v>
      </c>
      <c r="P229" s="10">
        <v>37.9009</v>
      </c>
      <c r="Q229" s="10">
        <v>27.063099999999999</v>
      </c>
      <c r="R229" s="10"/>
      <c r="S229" s="10">
        <v>88.453500000000005</v>
      </c>
      <c r="T229" s="10"/>
      <c r="U229" s="10"/>
      <c r="V229" s="10"/>
      <c r="W229" s="10"/>
      <c r="X229" s="10"/>
      <c r="Y229" s="10"/>
      <c r="Z229" s="10"/>
      <c r="AA229" s="10">
        <v>18.113099999999999</v>
      </c>
      <c r="AB229" s="10"/>
      <c r="AC229" s="10">
        <v>10.7257</v>
      </c>
      <c r="AD229" s="10">
        <v>9.3134999999999994</v>
      </c>
      <c r="AE229" s="10">
        <v>11.6988</v>
      </c>
      <c r="AF229" s="10">
        <v>11.119899999999999</v>
      </c>
      <c r="AG229" s="10">
        <v>7.9401000000000002</v>
      </c>
      <c r="AH229" s="10">
        <v>11.1227</v>
      </c>
      <c r="AI229" s="10">
        <v>17.685700000000001</v>
      </c>
      <c r="AJ229" s="10"/>
      <c r="AK229" s="10">
        <v>28.912800000000001</v>
      </c>
      <c r="AL229" s="10">
        <v>16.508900000000001</v>
      </c>
      <c r="AM229" s="10"/>
      <c r="AN229" s="10"/>
      <c r="AO229" s="10">
        <v>5.8277000000000001</v>
      </c>
      <c r="AP229" s="10">
        <v>4.9569000000000001</v>
      </c>
      <c r="AS229">
        <v>23.060099999999998</v>
      </c>
      <c r="AY229">
        <v>10.651400000000001</v>
      </c>
      <c r="BA229">
        <v>20.877700000000001</v>
      </c>
      <c r="BB229">
        <v>13.238799999999999</v>
      </c>
      <c r="BD229">
        <v>13.4689</v>
      </c>
    </row>
    <row r="230" spans="1:56">
      <c r="A230" s="4">
        <v>45010</v>
      </c>
      <c r="B230">
        <v>40.938400000000001</v>
      </c>
      <c r="D230">
        <v>79.372699999999995</v>
      </c>
      <c r="J230">
        <v>48.372300000000003</v>
      </c>
      <c r="K230" s="10">
        <v>18.666599999999999</v>
      </c>
      <c r="L230">
        <v>9.7088000000000001</v>
      </c>
      <c r="N230">
        <v>10.7013</v>
      </c>
      <c r="O230">
        <v>15.836399999999999</v>
      </c>
      <c r="P230" s="10">
        <v>38.297800000000002</v>
      </c>
      <c r="Q230" s="10">
        <v>27.2897</v>
      </c>
      <c r="R230" s="10"/>
      <c r="S230" s="10">
        <v>89.301100000000005</v>
      </c>
      <c r="T230" s="10"/>
      <c r="U230" s="10"/>
      <c r="V230" s="10"/>
      <c r="W230" s="10"/>
      <c r="X230" s="10"/>
      <c r="Y230" s="10"/>
      <c r="Z230" s="10"/>
      <c r="AA230" s="10">
        <v>18.284500000000001</v>
      </c>
      <c r="AB230" s="10"/>
      <c r="AC230" s="10">
        <v>10.7469</v>
      </c>
      <c r="AD230" s="10">
        <v>9.3604000000000003</v>
      </c>
      <c r="AE230" s="10">
        <v>12.085699999999999</v>
      </c>
      <c r="AF230" s="10">
        <v>11.1447</v>
      </c>
      <c r="AG230" s="10">
        <v>7.9555999999999996</v>
      </c>
      <c r="AH230" s="10">
        <v>11.2873</v>
      </c>
      <c r="AI230" s="10">
        <v>17.764399999999998</v>
      </c>
      <c r="AJ230" s="10"/>
      <c r="AK230" s="10">
        <v>29.179600000000001</v>
      </c>
      <c r="AL230" s="10">
        <v>16.827500000000001</v>
      </c>
      <c r="AM230" s="10"/>
      <c r="AN230" s="10"/>
      <c r="AO230" s="10">
        <v>6.0534999999999997</v>
      </c>
      <c r="AP230" s="10">
        <v>5.0415999999999999</v>
      </c>
      <c r="AS230">
        <v>23.425699999999999</v>
      </c>
      <c r="AY230">
        <v>10.6485</v>
      </c>
      <c r="BA230">
        <v>20.781600000000001</v>
      </c>
      <c r="BB230">
        <v>13.178100000000001</v>
      </c>
      <c r="BD230">
        <v>13.622999999999999</v>
      </c>
    </row>
    <row r="231" spans="1:56">
      <c r="A231" s="4">
        <v>45017</v>
      </c>
      <c r="B231">
        <v>40.952199999999998</v>
      </c>
      <c r="D231">
        <v>79.446600000000004</v>
      </c>
      <c r="J231">
        <v>48.258099999999999</v>
      </c>
      <c r="K231" s="10">
        <v>18.668099999999999</v>
      </c>
      <c r="L231">
        <v>9.7345000000000006</v>
      </c>
      <c r="N231">
        <v>10.7608</v>
      </c>
      <c r="O231">
        <v>16.308900000000001</v>
      </c>
      <c r="P231" s="10">
        <v>38.350499999999997</v>
      </c>
      <c r="Q231" s="10">
        <v>27.279800000000002</v>
      </c>
      <c r="R231" s="10"/>
      <c r="S231" s="10">
        <v>89.439599999999999</v>
      </c>
      <c r="T231" s="10"/>
      <c r="U231" s="10"/>
      <c r="V231" s="10"/>
      <c r="W231" s="10"/>
      <c r="X231" s="10"/>
      <c r="Y231" s="10"/>
      <c r="Z231" s="10"/>
      <c r="AA231" s="10">
        <v>18.604900000000001</v>
      </c>
      <c r="AB231" s="10"/>
      <c r="AC231" s="10">
        <v>11.0326</v>
      </c>
      <c r="AD231" s="10">
        <v>9.5094999999999992</v>
      </c>
      <c r="AE231" s="10">
        <v>12.4346</v>
      </c>
      <c r="AF231" s="10">
        <v>11.396599999999999</v>
      </c>
      <c r="AG231" s="10">
        <v>8.1302000000000003</v>
      </c>
      <c r="AH231" s="10">
        <v>11.369</v>
      </c>
      <c r="AI231" s="10">
        <v>17.9801</v>
      </c>
      <c r="AJ231" s="10"/>
      <c r="AK231" s="10">
        <v>29.112200000000001</v>
      </c>
      <c r="AL231" s="10">
        <v>16.840599999999998</v>
      </c>
      <c r="AM231" s="10"/>
      <c r="AN231" s="10"/>
      <c r="AO231" s="10">
        <v>6.1186999999999996</v>
      </c>
      <c r="AP231" s="10">
        <v>5.1078000000000001</v>
      </c>
      <c r="AS231">
        <v>23.819500000000001</v>
      </c>
      <c r="AY231">
        <v>10.8881</v>
      </c>
      <c r="BA231">
        <v>21.302700000000002</v>
      </c>
      <c r="BB231">
        <v>13.5063</v>
      </c>
      <c r="BD231">
        <v>13.9117</v>
      </c>
    </row>
    <row r="232" spans="1:56">
      <c r="A232" s="4">
        <v>45024</v>
      </c>
      <c r="B232">
        <v>40.630400000000002</v>
      </c>
      <c r="D232">
        <v>78.915000000000006</v>
      </c>
      <c r="J232">
        <v>48.013300000000001</v>
      </c>
      <c r="K232" s="10">
        <v>18.529499999999999</v>
      </c>
      <c r="L232">
        <v>9.6752000000000002</v>
      </c>
      <c r="N232">
        <v>10.714700000000001</v>
      </c>
      <c r="O232">
        <v>16.142399999999999</v>
      </c>
      <c r="P232" s="10">
        <v>38.053699999999999</v>
      </c>
      <c r="Q232" s="10">
        <v>27.1204</v>
      </c>
      <c r="R232" s="10"/>
      <c r="S232" s="10">
        <v>88.771699999999996</v>
      </c>
      <c r="T232" s="10"/>
      <c r="U232" s="10"/>
      <c r="V232" s="10"/>
      <c r="W232" s="10"/>
      <c r="X232" s="10"/>
      <c r="Y232" s="10"/>
      <c r="Z232" s="10"/>
      <c r="AA232" s="10">
        <v>18.582799999999999</v>
      </c>
      <c r="AB232" s="10"/>
      <c r="AC232" s="10">
        <v>11.0875</v>
      </c>
      <c r="AD232" s="10">
        <v>9.5693999999999999</v>
      </c>
      <c r="AE232" s="10">
        <v>12.3215</v>
      </c>
      <c r="AF232" s="10">
        <v>11.4834</v>
      </c>
      <c r="AG232" s="10">
        <v>8.1900999999999993</v>
      </c>
      <c r="AH232" s="10">
        <v>11.3688</v>
      </c>
      <c r="AI232" s="10">
        <v>17.7254</v>
      </c>
      <c r="AJ232" s="10"/>
      <c r="AK232" s="10">
        <v>28.988900000000001</v>
      </c>
      <c r="AL232" s="10">
        <v>16.794</v>
      </c>
      <c r="AM232" s="10"/>
      <c r="AN232" s="10"/>
      <c r="AO232" s="10">
        <v>6.0849000000000002</v>
      </c>
      <c r="AP232" s="10">
        <v>5.0869999999999997</v>
      </c>
      <c r="AS232">
        <v>23.419699999999999</v>
      </c>
      <c r="AY232">
        <v>10.994999999999999</v>
      </c>
      <c r="BA232">
        <v>21.4833</v>
      </c>
      <c r="BB232">
        <v>13.6195</v>
      </c>
      <c r="BD232">
        <v>13.973800000000001</v>
      </c>
    </row>
    <row r="233" spans="1:56">
      <c r="A233" s="4">
        <v>45031</v>
      </c>
      <c r="B233">
        <v>41.0655</v>
      </c>
      <c r="D233">
        <v>79.715000000000003</v>
      </c>
      <c r="J233">
        <v>48.162100000000002</v>
      </c>
      <c r="K233" s="10">
        <v>18.642900000000001</v>
      </c>
      <c r="L233">
        <v>9.6494999999999997</v>
      </c>
      <c r="N233">
        <v>10.7441</v>
      </c>
      <c r="O233">
        <v>16.244</v>
      </c>
      <c r="P233" s="10">
        <v>38.378300000000003</v>
      </c>
      <c r="Q233" s="10">
        <v>27.311499999999999</v>
      </c>
      <c r="R233" s="10"/>
      <c r="S233" s="10">
        <v>89.547200000000004</v>
      </c>
      <c r="T233" s="10"/>
      <c r="U233" s="10"/>
      <c r="V233" s="10"/>
      <c r="W233" s="10"/>
      <c r="X233" s="10"/>
      <c r="Y233" s="10"/>
      <c r="Z233" s="10"/>
      <c r="AA233" s="10">
        <v>18.589300000000001</v>
      </c>
      <c r="AB233" s="10"/>
      <c r="AC233" s="10">
        <v>11.167400000000001</v>
      </c>
      <c r="AD233" s="10">
        <v>9.4830000000000005</v>
      </c>
      <c r="AE233" s="10">
        <v>12.367800000000001</v>
      </c>
      <c r="AF233" s="10">
        <v>11.5121</v>
      </c>
      <c r="AG233" s="10">
        <v>8.2083999999999993</v>
      </c>
      <c r="AH233" s="10">
        <v>11.1875</v>
      </c>
      <c r="AI233" s="10">
        <v>17.916599999999999</v>
      </c>
      <c r="AJ233" s="10"/>
      <c r="AK233" s="10">
        <v>29.1021</v>
      </c>
      <c r="AL233" s="10">
        <v>16.9803</v>
      </c>
      <c r="AM233" s="10"/>
      <c r="AN233" s="10"/>
      <c r="AO233" s="10">
        <v>6.0815000000000001</v>
      </c>
      <c r="AP233" s="10">
        <v>5.07</v>
      </c>
      <c r="AS233">
        <v>23.542100000000001</v>
      </c>
      <c r="AY233">
        <v>10.9907</v>
      </c>
      <c r="BA233">
        <v>21.590699999999998</v>
      </c>
      <c r="BB233">
        <v>13.688700000000001</v>
      </c>
      <c r="BD233">
        <v>14.127000000000001</v>
      </c>
    </row>
    <row r="234" spans="1:56">
      <c r="A234" s="4">
        <v>45038</v>
      </c>
      <c r="B234">
        <v>40.336500000000001</v>
      </c>
      <c r="D234">
        <v>78.355500000000006</v>
      </c>
      <c r="J234">
        <v>47.670099999999998</v>
      </c>
      <c r="K234" s="10">
        <v>18.491299999999999</v>
      </c>
      <c r="L234">
        <v>9.6049000000000007</v>
      </c>
      <c r="N234">
        <v>10.549899999999999</v>
      </c>
      <c r="O234">
        <v>16.397300000000001</v>
      </c>
      <c r="P234" s="10">
        <v>37.831899999999997</v>
      </c>
      <c r="Q234" s="10">
        <v>27.0261</v>
      </c>
      <c r="R234" s="10"/>
      <c r="S234" s="10">
        <v>88.242500000000007</v>
      </c>
      <c r="T234" s="10"/>
      <c r="U234" s="10"/>
      <c r="V234" s="10"/>
      <c r="W234" s="10"/>
      <c r="X234" s="10"/>
      <c r="Y234" s="10"/>
      <c r="Z234" s="10"/>
      <c r="AA234" s="10">
        <v>18.613399999999999</v>
      </c>
      <c r="AB234" s="10"/>
      <c r="AC234" s="10">
        <v>11.239000000000001</v>
      </c>
      <c r="AD234" s="10">
        <v>9.5631000000000004</v>
      </c>
      <c r="AE234" s="10">
        <v>12.431699999999999</v>
      </c>
      <c r="AF234" s="10">
        <v>11.2051</v>
      </c>
      <c r="AG234" s="10">
        <v>7.9957000000000003</v>
      </c>
      <c r="AH234" s="10">
        <v>11.1691</v>
      </c>
      <c r="AI234" s="10">
        <v>17.47</v>
      </c>
      <c r="AJ234" s="10"/>
      <c r="AK234" s="10">
        <v>28.951000000000001</v>
      </c>
      <c r="AL234" s="10">
        <v>16.722999999999999</v>
      </c>
      <c r="AM234" s="10"/>
      <c r="AN234" s="10"/>
      <c r="AO234" s="10">
        <v>5.9580000000000002</v>
      </c>
      <c r="AP234" s="10">
        <v>5.0392000000000001</v>
      </c>
      <c r="AS234">
        <v>22.978400000000001</v>
      </c>
      <c r="AY234">
        <v>10.946999999999999</v>
      </c>
      <c r="BA234">
        <v>21.688099999999999</v>
      </c>
      <c r="BB234">
        <v>13.7517</v>
      </c>
      <c r="BD234">
        <v>14.3306</v>
      </c>
    </row>
    <row r="235" spans="1:56">
      <c r="A235" s="4">
        <v>45075</v>
      </c>
      <c r="B235">
        <v>40.257599999999996</v>
      </c>
      <c r="D235">
        <v>78.194400000000002</v>
      </c>
      <c r="J235">
        <v>47.532299999999999</v>
      </c>
      <c r="K235" s="10">
        <v>18.3597</v>
      </c>
      <c r="L235">
        <v>9.3560999999999996</v>
      </c>
      <c r="N235">
        <v>10.2576</v>
      </c>
      <c r="O235">
        <v>16.291</v>
      </c>
      <c r="P235" s="10">
        <v>37.617899999999999</v>
      </c>
      <c r="Q235" s="10">
        <v>26.902200000000001</v>
      </c>
      <c r="R235" s="10"/>
      <c r="S235" s="10">
        <v>87.674700000000001</v>
      </c>
      <c r="T235" s="10"/>
      <c r="U235" s="10"/>
      <c r="V235" s="10"/>
      <c r="W235" s="10"/>
      <c r="X235" s="10"/>
      <c r="Y235" s="10"/>
      <c r="Z235" s="10"/>
      <c r="AA235" s="10">
        <v>18.829599999999999</v>
      </c>
      <c r="AB235" s="10"/>
      <c r="AC235" s="10">
        <v>11.214</v>
      </c>
      <c r="AD235" s="10">
        <v>9.2014999999999993</v>
      </c>
      <c r="AE235" s="10">
        <v>12.3537</v>
      </c>
      <c r="AF235" s="10">
        <v>11.1633</v>
      </c>
      <c r="AG235" s="10">
        <v>7.9648000000000003</v>
      </c>
      <c r="AH235" s="10">
        <v>11.279</v>
      </c>
      <c r="AI235" s="10">
        <v>17.1934</v>
      </c>
      <c r="AJ235" s="10"/>
      <c r="AK235" s="10">
        <v>28.883900000000001</v>
      </c>
      <c r="AL235" s="10">
        <v>16.677299999999999</v>
      </c>
      <c r="AM235" s="10"/>
      <c r="AN235" s="10"/>
      <c r="AO235" s="10">
        <v>5.6626000000000003</v>
      </c>
      <c r="AP235" s="10">
        <v>4.9127000000000001</v>
      </c>
      <c r="AS235">
        <v>22.807400000000001</v>
      </c>
      <c r="AY235">
        <v>10.9681</v>
      </c>
      <c r="BA235">
        <v>21.6797</v>
      </c>
      <c r="BB235">
        <v>13.746</v>
      </c>
      <c r="BD235">
        <v>14.2675</v>
      </c>
    </row>
    <row r="236" spans="1:56">
      <c r="A236" s="4">
        <v>45052</v>
      </c>
      <c r="B236">
        <v>40.473700000000001</v>
      </c>
      <c r="D236">
        <v>78.599400000000003</v>
      </c>
      <c r="J236">
        <v>47.7256</v>
      </c>
      <c r="K236" s="10">
        <v>18.476400000000002</v>
      </c>
      <c r="L236">
        <v>9.5178999999999991</v>
      </c>
      <c r="N236">
        <v>10.305199999999999</v>
      </c>
      <c r="O236">
        <v>16.496200000000002</v>
      </c>
      <c r="P236" s="10">
        <v>37.291400000000003</v>
      </c>
      <c r="Q236" s="10">
        <v>26.7545</v>
      </c>
      <c r="R236" s="10"/>
      <c r="S236" s="10">
        <v>86.955699999999993</v>
      </c>
      <c r="T236" s="10"/>
      <c r="U236" s="10"/>
      <c r="V236" s="10"/>
      <c r="W236" s="10"/>
      <c r="X236" s="10"/>
      <c r="Y236" s="10"/>
      <c r="Z236" s="10"/>
      <c r="AA236" s="10">
        <v>18.7607</v>
      </c>
      <c r="AB236" s="10"/>
      <c r="AC236" s="10">
        <v>11.137499999999999</v>
      </c>
      <c r="AD236" s="10">
        <v>9.3445</v>
      </c>
      <c r="AE236" s="10">
        <v>12.334199999999999</v>
      </c>
      <c r="AF236" s="10">
        <v>11.1633</v>
      </c>
      <c r="AG236" s="10">
        <v>7.9648000000000003</v>
      </c>
      <c r="AH236" s="10">
        <v>11.279</v>
      </c>
      <c r="AI236" s="10">
        <v>17.055299999999999</v>
      </c>
      <c r="AJ236" s="10"/>
      <c r="AK236" s="10">
        <v>28.9818</v>
      </c>
      <c r="AL236" s="10">
        <v>16.78</v>
      </c>
      <c r="AM236" s="10"/>
      <c r="AN236" s="10"/>
      <c r="AO236" s="10">
        <v>5.6656000000000004</v>
      </c>
      <c r="AP236" s="10">
        <v>4.9211999999999998</v>
      </c>
      <c r="AS236">
        <v>22.9039</v>
      </c>
      <c r="AY236">
        <v>10.916700000000001</v>
      </c>
      <c r="BA236">
        <v>21.591899999999999</v>
      </c>
      <c r="BB236">
        <v>13.696099999999999</v>
      </c>
      <c r="BD236">
        <v>14.1882</v>
      </c>
    </row>
    <row r="237" spans="1:56">
      <c r="A237" s="4">
        <v>45059</v>
      </c>
      <c r="B237">
        <v>41.368200000000002</v>
      </c>
      <c r="D237">
        <v>80.291399999999996</v>
      </c>
      <c r="J237">
        <v>48.821100000000001</v>
      </c>
      <c r="K237" s="10">
        <v>18.763999999999999</v>
      </c>
      <c r="L237">
        <v>9.7957000000000001</v>
      </c>
      <c r="N237">
        <v>10.1158</v>
      </c>
      <c r="O237">
        <v>16.534800000000001</v>
      </c>
      <c r="P237" s="10">
        <v>37.958399999999997</v>
      </c>
      <c r="Q237" s="10">
        <v>27.1404</v>
      </c>
      <c r="R237" s="10"/>
      <c r="S237" s="10">
        <v>88.506799999999998</v>
      </c>
      <c r="T237" s="10"/>
      <c r="U237" s="10"/>
      <c r="V237" s="10"/>
      <c r="W237" s="10"/>
      <c r="X237" s="10"/>
      <c r="Y237" s="10"/>
      <c r="Z237" s="10"/>
      <c r="AA237" s="10">
        <v>19.093900000000001</v>
      </c>
      <c r="AB237" s="10"/>
      <c r="AC237" s="10">
        <v>11.1685</v>
      </c>
      <c r="AD237" s="10">
        <v>9.5014000000000003</v>
      </c>
      <c r="AE237" s="10">
        <v>12.438499999999999</v>
      </c>
      <c r="AF237" s="10">
        <v>11.2278</v>
      </c>
      <c r="AG237" s="10">
        <v>8.0099</v>
      </c>
      <c r="AH237" s="10">
        <v>11.0989</v>
      </c>
      <c r="AI237" s="10">
        <v>17.671700000000001</v>
      </c>
      <c r="AJ237" s="10"/>
      <c r="AK237" s="10">
        <v>29.177600000000002</v>
      </c>
      <c r="AL237" s="10">
        <v>17.076799999999999</v>
      </c>
      <c r="AM237" s="10"/>
      <c r="AN237" s="10"/>
      <c r="AO237" s="10">
        <v>5.5228999999999999</v>
      </c>
      <c r="AP237" s="10">
        <v>5.2415000000000003</v>
      </c>
      <c r="AS237">
        <v>23.278099999999998</v>
      </c>
      <c r="AY237">
        <v>10.925599999999999</v>
      </c>
      <c r="BA237">
        <v>21.603300000000001</v>
      </c>
      <c r="BB237">
        <v>13.7019</v>
      </c>
      <c r="BD237">
        <v>14.288</v>
      </c>
    </row>
    <row r="238" spans="1:56">
      <c r="A238" s="4">
        <v>45066</v>
      </c>
      <c r="B238">
        <v>39.872900000000001</v>
      </c>
      <c r="D238">
        <v>77.444199999999995</v>
      </c>
      <c r="J238">
        <v>46.4377</v>
      </c>
      <c r="K238" s="10">
        <v>17.836600000000001</v>
      </c>
      <c r="L238">
        <v>9.9459999999999997</v>
      </c>
      <c r="N238">
        <v>10.0893</v>
      </c>
      <c r="O238">
        <v>16.4831</v>
      </c>
      <c r="P238" s="10">
        <v>36.711799999999997</v>
      </c>
      <c r="Q238" s="10">
        <v>26.439699999999998</v>
      </c>
      <c r="R238" s="10"/>
      <c r="S238" s="10">
        <v>85.525899999999993</v>
      </c>
      <c r="T238" s="10"/>
      <c r="U238" s="10"/>
      <c r="V238" s="10"/>
      <c r="W238" s="10"/>
      <c r="X238" s="10"/>
      <c r="Y238" s="10"/>
      <c r="Z238" s="10"/>
      <c r="AA238" s="10">
        <v>19.753699999999998</v>
      </c>
      <c r="AB238" s="10"/>
      <c r="AC238" s="10">
        <v>11.2935</v>
      </c>
      <c r="AD238" s="10">
        <v>9.5343</v>
      </c>
      <c r="AE238" s="10">
        <v>12.364100000000001</v>
      </c>
      <c r="AF238" s="10">
        <v>11.388500000000001</v>
      </c>
      <c r="AG238" s="10">
        <v>8.1207999999999991</v>
      </c>
      <c r="AH238" s="10">
        <v>11.075200000000001</v>
      </c>
      <c r="AI238" s="10">
        <v>16.897200000000002</v>
      </c>
      <c r="AJ238" s="10"/>
      <c r="AK238" s="10">
        <v>28.642800000000001</v>
      </c>
      <c r="AL238" s="10">
        <v>16.2944</v>
      </c>
      <c r="AM238" s="10"/>
      <c r="AN238" s="10"/>
      <c r="AO238" s="10">
        <v>5.5293000000000001</v>
      </c>
      <c r="AP238" s="10">
        <v>5.2862999999999998</v>
      </c>
      <c r="AS238">
        <v>22.592500000000001</v>
      </c>
      <c r="AY238">
        <v>11.212</v>
      </c>
      <c r="BA238">
        <v>21.979700000000001</v>
      </c>
      <c r="BB238">
        <v>13.934699999999999</v>
      </c>
      <c r="BD238">
        <v>14.383900000000001</v>
      </c>
    </row>
    <row r="239" spans="1:56">
      <c r="A239" s="4">
        <v>45073</v>
      </c>
      <c r="B239">
        <v>40.317100000000003</v>
      </c>
      <c r="D239">
        <v>78.241399999999999</v>
      </c>
      <c r="J239">
        <v>46.950099999999999</v>
      </c>
      <c r="K239" s="10">
        <v>18.0305</v>
      </c>
      <c r="L239">
        <v>10.553599999999999</v>
      </c>
      <c r="N239">
        <v>9.7878000000000007</v>
      </c>
      <c r="O239">
        <v>16.388000000000002</v>
      </c>
      <c r="P239" s="10">
        <v>37.1554</v>
      </c>
      <c r="Q239" s="10">
        <v>26.6997</v>
      </c>
      <c r="R239" s="10"/>
      <c r="S239" s="10">
        <v>86.646000000000001</v>
      </c>
      <c r="T239" s="10"/>
      <c r="U239" s="10"/>
      <c r="V239" s="10"/>
      <c r="W239" s="10"/>
      <c r="X239" s="10"/>
      <c r="Y239" s="10"/>
      <c r="Z239" s="10"/>
      <c r="AA239" s="10">
        <v>19.933700000000002</v>
      </c>
      <c r="AB239" s="10"/>
      <c r="AC239" s="10">
        <v>11.1318</v>
      </c>
      <c r="AD239" s="10">
        <v>9.5805000000000007</v>
      </c>
      <c r="AE239" s="10">
        <v>12.295400000000001</v>
      </c>
      <c r="AF239" s="10">
        <v>11.396100000000001</v>
      </c>
      <c r="AG239" s="10">
        <v>8.1277000000000008</v>
      </c>
      <c r="AH239" s="10">
        <v>10.8697</v>
      </c>
      <c r="AI239" s="10">
        <v>17.284700000000001</v>
      </c>
      <c r="AJ239" s="10"/>
      <c r="AK239" s="10">
        <v>28.718299999999999</v>
      </c>
      <c r="AL239" s="10">
        <v>16.408300000000001</v>
      </c>
      <c r="AM239" s="10"/>
      <c r="AN239" s="10"/>
      <c r="AO239" s="10">
        <v>5.2847999999999997</v>
      </c>
      <c r="AP239" s="10">
        <v>5.2061999999999999</v>
      </c>
      <c r="AS239">
        <v>22.574100000000001</v>
      </c>
      <c r="AY239">
        <v>11.2865</v>
      </c>
      <c r="BA239">
        <v>21.7456</v>
      </c>
      <c r="BB239">
        <v>13.790100000000001</v>
      </c>
      <c r="BD239">
        <v>14.0906</v>
      </c>
    </row>
    <row r="240" spans="1:56">
      <c r="A240" s="4">
        <v>45080</v>
      </c>
      <c r="B240">
        <v>40.153700000000001</v>
      </c>
      <c r="D240">
        <v>77.975800000000007</v>
      </c>
      <c r="J240">
        <v>47.073399999999999</v>
      </c>
      <c r="K240" s="10">
        <v>18.0413</v>
      </c>
      <c r="L240">
        <v>10.876799999999999</v>
      </c>
      <c r="N240">
        <v>9.5930999999999997</v>
      </c>
      <c r="O240">
        <v>16.6282</v>
      </c>
      <c r="P240" s="10">
        <v>36.971499999999999</v>
      </c>
      <c r="Q240" s="10">
        <v>26.605</v>
      </c>
      <c r="R240" s="10"/>
      <c r="S240" s="10">
        <v>86.251300000000001</v>
      </c>
      <c r="T240" s="10"/>
      <c r="U240" s="10"/>
      <c r="V240" s="10"/>
      <c r="W240" s="10"/>
      <c r="X240" s="10"/>
      <c r="Y240" s="10"/>
      <c r="Z240" s="10"/>
      <c r="AA240" s="10">
        <v>20.3353</v>
      </c>
      <c r="AB240" s="10"/>
      <c r="AC240" s="10">
        <v>11.2776</v>
      </c>
      <c r="AD240" s="10">
        <v>9.4894999999999996</v>
      </c>
      <c r="AE240" s="10">
        <v>12.4595</v>
      </c>
      <c r="AF240" s="10">
        <v>11.6226</v>
      </c>
      <c r="AG240" s="10">
        <v>8.2868999999999993</v>
      </c>
      <c r="AH240" s="10">
        <v>10.7674</v>
      </c>
      <c r="AI240" s="10">
        <v>17.428599999999999</v>
      </c>
      <c r="AJ240" s="10"/>
      <c r="AK240" s="10">
        <v>28.704499999999999</v>
      </c>
      <c r="AL240" s="10">
        <v>16.285900000000002</v>
      </c>
      <c r="AM240" s="10"/>
      <c r="AN240" s="10"/>
      <c r="AO240" s="10">
        <v>5.1387</v>
      </c>
      <c r="AP240" s="10">
        <v>5.4284999999999997</v>
      </c>
      <c r="AS240">
        <v>22.551100000000002</v>
      </c>
      <c r="AY240">
        <v>11.590400000000001</v>
      </c>
      <c r="BA240">
        <v>22.106000000000002</v>
      </c>
      <c r="BB240">
        <v>14.0214</v>
      </c>
      <c r="BD240">
        <v>14.074199999999999</v>
      </c>
    </row>
    <row r="241" spans="1:56">
      <c r="A241" s="4">
        <v>45087</v>
      </c>
      <c r="B241">
        <v>40.443399999999997</v>
      </c>
      <c r="D241">
        <v>78.552999999999997</v>
      </c>
      <c r="J241">
        <v>47.638599999999997</v>
      </c>
      <c r="K241" s="10">
        <v>18.3096</v>
      </c>
      <c r="L241">
        <v>10.925800000000001</v>
      </c>
      <c r="N241">
        <v>10.0198</v>
      </c>
      <c r="O241">
        <v>16.730699999999999</v>
      </c>
      <c r="P241" s="10">
        <v>37.459000000000003</v>
      </c>
      <c r="Q241" s="10">
        <v>26.867899999999999</v>
      </c>
      <c r="R241" s="10"/>
      <c r="S241" s="10">
        <v>87.378799999999998</v>
      </c>
      <c r="T241" s="10"/>
      <c r="U241" s="10"/>
      <c r="V241" s="10"/>
      <c r="W241" s="10"/>
      <c r="X241" s="10"/>
      <c r="Y241" s="10"/>
      <c r="Z241" s="10"/>
      <c r="AA241" s="10">
        <v>20.390899999999998</v>
      </c>
      <c r="AB241" s="10"/>
      <c r="AC241" s="10">
        <v>11.468400000000001</v>
      </c>
      <c r="AD241" s="10">
        <v>9.7012</v>
      </c>
      <c r="AE241" s="10">
        <v>12.564500000000001</v>
      </c>
      <c r="AF241" s="10">
        <v>11.8073</v>
      </c>
      <c r="AG241" s="10">
        <v>8.4159000000000006</v>
      </c>
      <c r="AH241" s="10">
        <v>10.7819</v>
      </c>
      <c r="AI241" s="10">
        <v>17.694600000000001</v>
      </c>
      <c r="AJ241" s="10"/>
      <c r="AK241" s="10">
        <v>28.827999999999999</v>
      </c>
      <c r="AL241" s="10">
        <v>16.518699999999999</v>
      </c>
      <c r="AM241" s="10"/>
      <c r="AN241" s="10"/>
      <c r="AO241" s="10">
        <v>5.3696999999999999</v>
      </c>
      <c r="AP241" s="10">
        <v>5.4512</v>
      </c>
      <c r="AS241">
        <v>22.9436</v>
      </c>
      <c r="AY241">
        <v>11.739800000000001</v>
      </c>
      <c r="BA241">
        <v>22.471499999999999</v>
      </c>
      <c r="BB241">
        <v>14.2514</v>
      </c>
      <c r="BD241">
        <v>14.251899999999999</v>
      </c>
    </row>
    <row r="242" spans="1:56">
      <c r="A242" s="4">
        <v>45094</v>
      </c>
      <c r="B242">
        <v>40.4114</v>
      </c>
      <c r="D242">
        <v>78.4893</v>
      </c>
      <c r="J242">
        <v>47.432499999999997</v>
      </c>
      <c r="K242" s="10">
        <v>18.1951</v>
      </c>
      <c r="L242">
        <v>11.4133</v>
      </c>
      <c r="N242">
        <v>10.42</v>
      </c>
      <c r="O242">
        <v>17.087299999999999</v>
      </c>
      <c r="P242" s="10">
        <v>37.179000000000002</v>
      </c>
      <c r="Q242" s="10">
        <v>26.706600000000002</v>
      </c>
      <c r="R242" s="10"/>
      <c r="S242" s="10">
        <v>86.77</v>
      </c>
      <c r="T242" s="10"/>
      <c r="U242" s="10"/>
      <c r="V242" s="10"/>
      <c r="W242" s="10"/>
      <c r="X242" s="10"/>
      <c r="Y242" s="10"/>
      <c r="Z242" s="10"/>
      <c r="AA242" s="10">
        <v>21.336099999999998</v>
      </c>
      <c r="AB242" s="10"/>
      <c r="AC242" s="10">
        <v>11.785399999999999</v>
      </c>
      <c r="AD242" s="10">
        <v>9.9543999999999997</v>
      </c>
      <c r="AE242" s="10">
        <v>12.734400000000001</v>
      </c>
      <c r="AF242" s="10">
        <v>11.8666</v>
      </c>
      <c r="AG242" s="10">
        <v>8.4579000000000004</v>
      </c>
      <c r="AH242" s="10">
        <v>11.085900000000001</v>
      </c>
      <c r="AI242" s="10">
        <v>17.525300000000001</v>
      </c>
      <c r="AJ242" s="10"/>
      <c r="AK242" s="10">
        <v>28.7943</v>
      </c>
      <c r="AL242" s="10">
        <v>16.4529</v>
      </c>
      <c r="AM242" s="10"/>
      <c r="AN242" s="10"/>
      <c r="AO242" s="10">
        <v>5.6673</v>
      </c>
      <c r="AP242" s="10">
        <v>5.6368</v>
      </c>
      <c r="AS242">
        <v>23.087900000000001</v>
      </c>
      <c r="AY242">
        <v>11.7272</v>
      </c>
      <c r="BA242">
        <v>22.994</v>
      </c>
      <c r="BB242">
        <v>14.670500000000001</v>
      </c>
      <c r="BD242">
        <v>14.3743</v>
      </c>
    </row>
    <row r="243" spans="1:56">
      <c r="A243" s="4">
        <v>45101</v>
      </c>
      <c r="B243">
        <v>39.095999999999997</v>
      </c>
      <c r="D243">
        <v>75.976799999999997</v>
      </c>
      <c r="J243">
        <v>46.179099999999998</v>
      </c>
      <c r="K243" s="10">
        <v>17.6812</v>
      </c>
      <c r="L243">
        <v>11.165100000000001</v>
      </c>
      <c r="N243">
        <v>10.119199999999999</v>
      </c>
      <c r="O243">
        <v>16.419599999999999</v>
      </c>
      <c r="P243" s="10">
        <v>36.102600000000002</v>
      </c>
      <c r="Q243" s="10">
        <v>26.067499999999999</v>
      </c>
      <c r="R243" s="10"/>
      <c r="S243" s="10">
        <v>84.256600000000006</v>
      </c>
      <c r="T243" s="10"/>
      <c r="U243" s="10"/>
      <c r="V243" s="10"/>
      <c r="W243" s="10"/>
      <c r="X243" s="10"/>
      <c r="Y243" s="10"/>
      <c r="Z243" s="10"/>
      <c r="AA243" s="10">
        <v>21.138000000000002</v>
      </c>
      <c r="AB243" s="10"/>
      <c r="AC243" s="10">
        <v>11.6022</v>
      </c>
      <c r="AD243" s="10">
        <v>9.7248000000000001</v>
      </c>
      <c r="AE243" s="10">
        <v>12.126099999999999</v>
      </c>
      <c r="AF243" s="10">
        <v>12.2347</v>
      </c>
      <c r="AG243" s="10">
        <v>8.7134999999999998</v>
      </c>
      <c r="AH243" s="10">
        <v>10.822800000000001</v>
      </c>
      <c r="AI243" s="10">
        <v>17.042400000000001</v>
      </c>
      <c r="AJ243" s="10"/>
      <c r="AK243" s="10">
        <v>28.512599999999999</v>
      </c>
      <c r="AL243" s="10">
        <v>16.0564</v>
      </c>
      <c r="AM243" s="10"/>
      <c r="AN243" s="10"/>
      <c r="AO243" s="10">
        <v>5.3963999999999999</v>
      </c>
      <c r="AP243" s="10">
        <v>5.6012000000000004</v>
      </c>
      <c r="AS243">
        <v>22.328399999999998</v>
      </c>
      <c r="AY243">
        <v>11.5631</v>
      </c>
      <c r="BA243">
        <v>22.759</v>
      </c>
      <c r="BB243">
        <v>14.521000000000001</v>
      </c>
      <c r="BD243">
        <v>14.1213</v>
      </c>
    </row>
    <row r="244" spans="1:56">
      <c r="A244" s="4">
        <v>45108</v>
      </c>
      <c r="B244">
        <v>39.473599999999998</v>
      </c>
      <c r="D244">
        <v>76.698300000000003</v>
      </c>
      <c r="J244">
        <v>46.027000000000001</v>
      </c>
      <c r="K244" s="10">
        <v>17.672000000000001</v>
      </c>
      <c r="L244">
        <v>11.2193</v>
      </c>
      <c r="N244">
        <v>9.9817999999999998</v>
      </c>
      <c r="O244">
        <v>16.830200000000001</v>
      </c>
      <c r="P244" s="10">
        <v>36.043100000000003</v>
      </c>
      <c r="Q244" s="10">
        <v>26.036000000000001</v>
      </c>
      <c r="R244" s="10"/>
      <c r="S244" s="10">
        <v>84.137</v>
      </c>
      <c r="T244" s="10"/>
      <c r="U244" s="10"/>
      <c r="V244" s="10"/>
      <c r="W244" s="10"/>
      <c r="X244" s="10"/>
      <c r="Y244" s="10"/>
      <c r="Z244" s="10"/>
      <c r="AA244" s="10">
        <v>21.024699999999999</v>
      </c>
      <c r="AB244" s="10"/>
      <c r="AC244" s="10">
        <v>11.6333</v>
      </c>
      <c r="AD244" s="10">
        <v>9.7528000000000006</v>
      </c>
      <c r="AE244" s="10">
        <v>12.3185</v>
      </c>
      <c r="AF244" s="10">
        <v>12.2822</v>
      </c>
      <c r="AG244" s="10">
        <v>8.7477999999999998</v>
      </c>
      <c r="AH244" s="10">
        <v>10.755100000000001</v>
      </c>
      <c r="AI244" s="10">
        <v>17.0534</v>
      </c>
      <c r="AJ244" s="10"/>
      <c r="AK244" s="10">
        <v>28.6128</v>
      </c>
      <c r="AL244" s="10">
        <v>16.184200000000001</v>
      </c>
      <c r="AM244" s="10"/>
      <c r="AN244" s="10"/>
      <c r="AO244" s="10">
        <v>5.2972000000000001</v>
      </c>
      <c r="AP244" s="10">
        <v>5.6178999999999997</v>
      </c>
      <c r="AS244">
        <v>22.434699999999999</v>
      </c>
      <c r="AY244">
        <v>11.5823</v>
      </c>
      <c r="BA244">
        <v>22.842700000000001</v>
      </c>
      <c r="BB244">
        <v>14.5756</v>
      </c>
      <c r="BD244">
        <v>14.195399999999999</v>
      </c>
    </row>
    <row r="245" spans="1:56">
      <c r="A245" s="4">
        <v>45115</v>
      </c>
      <c r="B245">
        <v>38.912300000000002</v>
      </c>
      <c r="D245">
        <v>75.6267</v>
      </c>
      <c r="J245">
        <v>45.2241</v>
      </c>
      <c r="K245" s="10">
        <v>17.388999999999999</v>
      </c>
      <c r="L245">
        <v>11.083299999999999</v>
      </c>
      <c r="N245">
        <v>9.8435000000000006</v>
      </c>
      <c r="O245">
        <v>16.430499999999999</v>
      </c>
      <c r="P245" s="10">
        <v>35.584699999999998</v>
      </c>
      <c r="Q245" s="10">
        <v>25.760100000000001</v>
      </c>
      <c r="R245" s="10"/>
      <c r="S245" s="10">
        <v>83.1417</v>
      </c>
      <c r="T245" s="10"/>
      <c r="U245" s="10"/>
      <c r="V245" s="10"/>
      <c r="W245" s="10"/>
      <c r="X245" s="10"/>
      <c r="Y245" s="10"/>
      <c r="Z245" s="10"/>
      <c r="AA245" s="10">
        <v>21.195499999999999</v>
      </c>
      <c r="AB245" s="10"/>
      <c r="AC245" s="10">
        <v>11.5631</v>
      </c>
      <c r="AD245" s="10">
        <v>9.7089999999999996</v>
      </c>
      <c r="AE245" s="10">
        <v>12.1806</v>
      </c>
      <c r="AF245" s="10">
        <v>12.2568</v>
      </c>
      <c r="AG245" s="10">
        <v>8.7283000000000008</v>
      </c>
      <c r="AH245" s="10">
        <v>10.6927</v>
      </c>
      <c r="AI245" s="10">
        <v>16.790099999999999</v>
      </c>
      <c r="AJ245" s="10"/>
      <c r="AK245" s="10">
        <v>28.4863</v>
      </c>
      <c r="AL245" s="10">
        <v>15.9726</v>
      </c>
      <c r="AM245" s="10"/>
      <c r="AN245" s="10"/>
      <c r="AO245" s="10">
        <v>5.2458</v>
      </c>
      <c r="AP245" s="10">
        <v>5.6764999999999999</v>
      </c>
      <c r="AS245">
        <v>22.300999999999998</v>
      </c>
      <c r="AY245">
        <v>11.6343</v>
      </c>
      <c r="BA245">
        <v>22.883800000000001</v>
      </c>
      <c r="BB245">
        <v>14.6044</v>
      </c>
      <c r="BD245">
        <v>13.8714</v>
      </c>
    </row>
    <row r="246" spans="1:56">
      <c r="A246" s="4">
        <v>45122</v>
      </c>
      <c r="B246">
        <v>39.592700000000001</v>
      </c>
      <c r="D246">
        <v>76.943600000000004</v>
      </c>
      <c r="J246">
        <v>45.607300000000002</v>
      </c>
      <c r="K246" s="10">
        <v>17.559200000000001</v>
      </c>
      <c r="L246">
        <v>11.5814</v>
      </c>
      <c r="N246">
        <v>10.108599999999999</v>
      </c>
      <c r="O246">
        <v>16.964600000000001</v>
      </c>
      <c r="P246" s="10">
        <v>36.012300000000003</v>
      </c>
      <c r="Q246" s="10">
        <v>26.0031</v>
      </c>
      <c r="R246" s="10"/>
      <c r="S246" s="10">
        <v>84.146500000000003</v>
      </c>
      <c r="T246" s="10"/>
      <c r="U246" s="10"/>
      <c r="V246" s="10"/>
      <c r="W246" s="10"/>
      <c r="X246" s="10"/>
      <c r="Y246" s="10"/>
      <c r="Z246" s="10"/>
      <c r="AA246" s="10">
        <v>21.808700000000002</v>
      </c>
      <c r="AB246" s="10"/>
      <c r="AC246" s="10">
        <v>11.9551</v>
      </c>
      <c r="AD246" s="10">
        <v>9.6806000000000001</v>
      </c>
      <c r="AE246" s="10">
        <v>12.5342</v>
      </c>
      <c r="AF246" s="10">
        <v>12.4742</v>
      </c>
      <c r="AG246" s="10">
        <v>8.8773999999999997</v>
      </c>
      <c r="AH246" s="10">
        <v>11.105499999999999</v>
      </c>
      <c r="AI246" s="10">
        <v>16.979399999999998</v>
      </c>
      <c r="AJ246" s="10"/>
      <c r="AK246" s="10">
        <v>28.6173</v>
      </c>
      <c r="AL246" s="10">
        <v>16.267299999999999</v>
      </c>
      <c r="AM246" s="10"/>
      <c r="AN246" s="10"/>
      <c r="AO246" s="10">
        <v>5.5435999999999996</v>
      </c>
      <c r="AP246" s="10">
        <v>5.7691999999999997</v>
      </c>
      <c r="AS246">
        <v>22.802499999999998</v>
      </c>
      <c r="AY246">
        <v>11.9292</v>
      </c>
      <c r="BA246">
        <v>23.3645</v>
      </c>
      <c r="BB246">
        <v>14.9078</v>
      </c>
      <c r="BD246">
        <v>14.3393</v>
      </c>
    </row>
    <row r="247" spans="1:56">
      <c r="A247" s="4">
        <v>12257</v>
      </c>
      <c r="B247">
        <v>39.774000000000001</v>
      </c>
      <c r="D247">
        <v>77.307599999999994</v>
      </c>
      <c r="J247">
        <v>46.305599999999998</v>
      </c>
      <c r="K247" s="10">
        <v>17.7562</v>
      </c>
      <c r="L247">
        <v>11.6563</v>
      </c>
      <c r="N247">
        <v>9.8948999999999998</v>
      </c>
      <c r="O247">
        <v>16.896000000000001</v>
      </c>
      <c r="P247" s="10">
        <v>36.255499999999998</v>
      </c>
      <c r="Q247" s="10">
        <v>26.1372</v>
      </c>
      <c r="R247" s="10"/>
      <c r="S247" s="10">
        <v>84.725099999999998</v>
      </c>
      <c r="T247" s="10"/>
      <c r="U247" s="10"/>
      <c r="V247" s="10"/>
      <c r="W247" s="10"/>
      <c r="X247" s="10"/>
      <c r="Y247" s="10"/>
      <c r="Z247" s="10"/>
      <c r="AA247" s="10">
        <v>21.611499999999999</v>
      </c>
      <c r="AB247" s="10"/>
      <c r="AC247" s="10">
        <v>11.9206</v>
      </c>
      <c r="AD247" s="10">
        <v>9.8724000000000007</v>
      </c>
      <c r="AE247" s="10">
        <v>12.527900000000001</v>
      </c>
      <c r="AF247" s="10">
        <v>12.700200000000001</v>
      </c>
      <c r="AG247" s="10">
        <v>9.0296000000000003</v>
      </c>
      <c r="AH247" s="10">
        <v>10.9315</v>
      </c>
      <c r="AI247" s="10">
        <v>17.264800000000001</v>
      </c>
      <c r="AJ247" s="10"/>
      <c r="AK247" s="10">
        <v>28.660499999999999</v>
      </c>
      <c r="AL247" s="10">
        <v>16.418800000000001</v>
      </c>
      <c r="AM247" s="10"/>
      <c r="AN247" s="10"/>
      <c r="AO247" s="10">
        <v>5.3579999999999997</v>
      </c>
      <c r="AP247" s="10">
        <v>5.9249000000000001</v>
      </c>
      <c r="AS247">
        <v>22.913</v>
      </c>
      <c r="AY247">
        <v>11.870900000000001</v>
      </c>
      <c r="BA247">
        <v>23.450399999999998</v>
      </c>
      <c r="BB247">
        <v>14.9621</v>
      </c>
      <c r="BD247">
        <v>14.392899999999999</v>
      </c>
    </row>
    <row r="248" spans="1:56">
      <c r="A248" s="4">
        <v>45136</v>
      </c>
      <c r="B248">
        <v>40.0762</v>
      </c>
      <c r="D248">
        <v>77.884</v>
      </c>
      <c r="J248">
        <v>46.743099999999998</v>
      </c>
      <c r="K248" s="10">
        <v>17.953700000000001</v>
      </c>
      <c r="L248">
        <v>11.418200000000001</v>
      </c>
      <c r="N248">
        <v>9.9952000000000005</v>
      </c>
      <c r="O248">
        <v>16.8017</v>
      </c>
      <c r="P248" s="10">
        <v>36.5944</v>
      </c>
      <c r="Q248" s="10">
        <v>26.345099999999999</v>
      </c>
      <c r="R248" s="10"/>
      <c r="S248" s="10">
        <v>85.5077</v>
      </c>
      <c r="T248" s="10"/>
      <c r="U248" s="10"/>
      <c r="V248" s="10"/>
      <c r="W248" s="10"/>
      <c r="X248" s="10"/>
      <c r="Y248" s="10"/>
      <c r="Z248" s="10"/>
      <c r="AA248" s="10">
        <v>21.667300000000001</v>
      </c>
      <c r="AB248" s="10"/>
      <c r="AC248" s="10">
        <v>12.030099999999999</v>
      </c>
      <c r="AD248" s="10">
        <v>9.7226999999999997</v>
      </c>
      <c r="AE248" s="10">
        <v>12.485900000000001</v>
      </c>
      <c r="AF248" s="10">
        <v>12.7346</v>
      </c>
      <c r="AG248" s="10">
        <v>9.0553000000000008</v>
      </c>
      <c r="AH248" s="10">
        <v>11.253</v>
      </c>
      <c r="AI248" s="10">
        <v>17.4025</v>
      </c>
      <c r="AJ248" s="10"/>
      <c r="AK248" s="10">
        <v>28.788599999999999</v>
      </c>
      <c r="AL248" s="10">
        <v>16.578900000000001</v>
      </c>
      <c r="AM248" s="10"/>
      <c r="AN248" s="10"/>
      <c r="AO248" s="10">
        <v>5.5655000000000001</v>
      </c>
      <c r="AP248" s="10">
        <v>5.9073000000000002</v>
      </c>
      <c r="AS248">
        <v>23.113800000000001</v>
      </c>
      <c r="AY248">
        <v>11.981199999999999</v>
      </c>
      <c r="BA248">
        <v>23.6097</v>
      </c>
      <c r="BB248">
        <v>15.0632</v>
      </c>
      <c r="BD248">
        <v>14.4185</v>
      </c>
    </row>
    <row r="249" spans="1:56">
      <c r="A249" s="4">
        <v>45143</v>
      </c>
      <c r="B249">
        <v>39.541400000000003</v>
      </c>
      <c r="D249">
        <v>76.882000000000005</v>
      </c>
      <c r="J249">
        <v>46.010399999999997</v>
      </c>
      <c r="K249" s="10">
        <v>17.625</v>
      </c>
      <c r="L249">
        <v>11.2042</v>
      </c>
      <c r="N249">
        <v>9.9861000000000004</v>
      </c>
      <c r="O249">
        <v>16.555</v>
      </c>
      <c r="P249" s="10">
        <v>36.2547</v>
      </c>
      <c r="Q249" s="10">
        <v>26.148099999999999</v>
      </c>
      <c r="R249" s="10"/>
      <c r="S249" s="10">
        <v>84.778099999999995</v>
      </c>
      <c r="T249" s="10"/>
      <c r="U249" s="10"/>
      <c r="V249" s="10"/>
      <c r="W249" s="10"/>
      <c r="X249" s="10"/>
      <c r="Y249" s="10"/>
      <c r="Z249" s="10"/>
      <c r="AA249" s="10">
        <v>21.4755</v>
      </c>
      <c r="AB249" s="10"/>
      <c r="AC249" s="10">
        <v>11.7948</v>
      </c>
      <c r="AD249" s="10">
        <v>9.5728000000000009</v>
      </c>
      <c r="AE249" s="10">
        <v>11.7988</v>
      </c>
      <c r="AF249" s="10">
        <v>13.176500000000001</v>
      </c>
      <c r="AG249" s="10">
        <v>9.3712</v>
      </c>
      <c r="AH249" s="10">
        <v>11.4724</v>
      </c>
      <c r="AI249" s="10">
        <v>17.238199999999999</v>
      </c>
      <c r="AJ249" s="10"/>
      <c r="AK249" s="10">
        <v>28.622399999999999</v>
      </c>
      <c r="AL249" s="10">
        <v>16.3415</v>
      </c>
      <c r="AM249" s="10"/>
      <c r="AN249" s="10"/>
      <c r="AO249" s="10">
        <v>5.6425000000000001</v>
      </c>
      <c r="AP249" s="10">
        <v>5.7667000000000002</v>
      </c>
      <c r="AS249">
        <v>23.0945</v>
      </c>
      <c r="AY249">
        <v>11.892300000000001</v>
      </c>
      <c r="BA249">
        <v>23.253399999999999</v>
      </c>
      <c r="BB249">
        <v>14.840999999999999</v>
      </c>
      <c r="BD249">
        <v>14.168100000000001</v>
      </c>
    </row>
    <row r="250" spans="1:56">
      <c r="A250" s="4">
        <v>45150</v>
      </c>
      <c r="B250">
        <v>39.954900000000002</v>
      </c>
      <c r="D250">
        <v>77.672200000000004</v>
      </c>
      <c r="J250">
        <v>46.290799999999997</v>
      </c>
      <c r="K250" s="10">
        <v>17.803899999999999</v>
      </c>
      <c r="L250">
        <v>11.141400000000001</v>
      </c>
      <c r="N250">
        <v>9.6973000000000003</v>
      </c>
      <c r="O250">
        <v>16.8429</v>
      </c>
      <c r="P250" s="10">
        <v>36.785299999999999</v>
      </c>
      <c r="Q250" s="10">
        <v>26.482099999999999</v>
      </c>
      <c r="R250" s="10"/>
      <c r="S250" s="10">
        <v>85.975899999999996</v>
      </c>
      <c r="T250" s="10"/>
      <c r="U250" s="10"/>
      <c r="V250" s="10"/>
      <c r="W250" s="10"/>
      <c r="X250" s="10"/>
      <c r="Y250" s="10"/>
      <c r="Z250" s="10"/>
      <c r="AA250" s="10">
        <v>21.1814</v>
      </c>
      <c r="AB250" s="10"/>
      <c r="AC250" s="10">
        <v>11.7559</v>
      </c>
      <c r="AD250" s="10">
        <v>9.3516999999999992</v>
      </c>
      <c r="AE250" s="10">
        <v>11.9129</v>
      </c>
      <c r="AF250" s="10">
        <v>13.251300000000001</v>
      </c>
      <c r="AG250" s="10">
        <v>9.4238999999999997</v>
      </c>
      <c r="AH250" s="10">
        <v>11.1228</v>
      </c>
      <c r="AI250" s="10">
        <v>17.374500000000001</v>
      </c>
      <c r="AJ250" s="10"/>
      <c r="AK250" s="10">
        <v>28.8141</v>
      </c>
      <c r="AL250" s="10">
        <v>16.529399999999999</v>
      </c>
      <c r="AM250" s="10"/>
      <c r="AN250" s="10"/>
      <c r="AO250" s="10">
        <v>5.5884</v>
      </c>
      <c r="AP250" s="10">
        <v>5.7332999999999998</v>
      </c>
      <c r="AS250">
        <v>23.241199999999999</v>
      </c>
      <c r="AY250">
        <v>11.8726</v>
      </c>
      <c r="BA250">
        <v>23.0901</v>
      </c>
      <c r="BB250">
        <v>14.739100000000001</v>
      </c>
      <c r="BD250">
        <v>14.3886</v>
      </c>
    </row>
    <row r="251" spans="1:56">
      <c r="A251" s="4">
        <v>45157</v>
      </c>
      <c r="B251">
        <v>39.845700000000001</v>
      </c>
      <c r="D251">
        <v>77.483800000000002</v>
      </c>
      <c r="J251">
        <v>46.089500000000001</v>
      </c>
      <c r="K251" s="10">
        <v>17.8033</v>
      </c>
      <c r="L251">
        <v>10.651899999999999</v>
      </c>
      <c r="N251">
        <v>9.3309999999999995</v>
      </c>
      <c r="O251">
        <v>16.283000000000001</v>
      </c>
      <c r="P251" s="10">
        <v>36.6768</v>
      </c>
      <c r="Q251" s="10">
        <v>26.395600000000002</v>
      </c>
      <c r="R251" s="10"/>
      <c r="S251" s="10">
        <v>85.755200000000002</v>
      </c>
      <c r="T251" s="10"/>
      <c r="U251" s="10"/>
      <c r="V251" s="10"/>
      <c r="W251" s="10"/>
      <c r="X251" s="10"/>
      <c r="Y251" s="10"/>
      <c r="Z251" s="10"/>
      <c r="AA251" s="10">
        <v>20.618400000000001</v>
      </c>
      <c r="AB251" s="10"/>
      <c r="AC251" s="10">
        <v>11.4275</v>
      </c>
      <c r="AD251" s="10">
        <v>9.0068000000000001</v>
      </c>
      <c r="AE251" s="10">
        <v>11.504799999999999</v>
      </c>
      <c r="AF251" s="10">
        <v>12.8653</v>
      </c>
      <c r="AG251" s="10">
        <v>9.1412999999999993</v>
      </c>
      <c r="AH251" s="10">
        <v>10.7683</v>
      </c>
      <c r="AI251" s="10">
        <v>17.560600000000001</v>
      </c>
      <c r="AJ251" s="10"/>
      <c r="AK251" s="10">
        <v>28.7437</v>
      </c>
      <c r="AL251" s="10">
        <v>16.529</v>
      </c>
      <c r="AM251" s="10"/>
      <c r="AN251" s="10"/>
      <c r="AO251" s="10">
        <v>5.2643000000000004</v>
      </c>
      <c r="AP251" s="10">
        <v>5.6596000000000002</v>
      </c>
      <c r="AS251">
        <v>23.3032</v>
      </c>
      <c r="AY251">
        <v>11.6296</v>
      </c>
      <c r="BA251">
        <v>22.565899999999999</v>
      </c>
      <c r="BB251">
        <v>14.408899999999999</v>
      </c>
      <c r="BD251">
        <v>13.9717</v>
      </c>
    </row>
    <row r="252" spans="1:56">
      <c r="A252" s="4">
        <v>45164</v>
      </c>
      <c r="B252">
        <v>40.998800000000003</v>
      </c>
      <c r="D252">
        <v>79.656800000000004</v>
      </c>
      <c r="J252">
        <v>47.169499999999999</v>
      </c>
      <c r="K252" s="10">
        <v>18.2559</v>
      </c>
      <c r="L252">
        <v>10.9329</v>
      </c>
      <c r="N252">
        <v>9.2398000000000007</v>
      </c>
      <c r="O252">
        <v>16.1265</v>
      </c>
      <c r="P252" s="10">
        <v>37.557200000000002</v>
      </c>
      <c r="Q252" s="10">
        <v>26.894600000000001</v>
      </c>
      <c r="R252" s="10"/>
      <c r="S252" s="10">
        <v>87.801699999999997</v>
      </c>
      <c r="T252" s="10"/>
      <c r="U252" s="10"/>
      <c r="V252" s="10"/>
      <c r="W252" s="10"/>
      <c r="X252" s="10"/>
      <c r="Y252" s="10"/>
      <c r="Z252" s="10"/>
      <c r="AA252" s="10">
        <v>20.721299999999999</v>
      </c>
      <c r="AB252" s="10"/>
      <c r="AC252" s="10">
        <v>11.4184</v>
      </c>
      <c r="AD252" s="10">
        <v>9.1247000000000007</v>
      </c>
      <c r="AE252" s="10">
        <v>11.456300000000001</v>
      </c>
      <c r="AF252" s="10">
        <v>12.6783</v>
      </c>
      <c r="AG252" s="10">
        <v>9.0220000000000002</v>
      </c>
      <c r="AH252" s="10">
        <v>10.8986</v>
      </c>
      <c r="AI252" s="10">
        <v>18.203900000000001</v>
      </c>
      <c r="AJ252" s="10"/>
      <c r="AK252" s="10">
        <v>29.032</v>
      </c>
      <c r="AL252" s="10">
        <v>16.8706</v>
      </c>
      <c r="AM252" s="10"/>
      <c r="AN252" s="10"/>
      <c r="AO252" s="10">
        <v>5.1981999999999999</v>
      </c>
      <c r="AP252" s="10">
        <v>5.7293000000000003</v>
      </c>
      <c r="AS252">
        <v>23.5412</v>
      </c>
      <c r="AY252">
        <v>11.5967</v>
      </c>
      <c r="BA252">
        <v>22.5595</v>
      </c>
      <c r="BB252">
        <v>14.4064</v>
      </c>
      <c r="BD252">
        <v>13.9755</v>
      </c>
    </row>
    <row r="253" spans="1:56">
      <c r="A253" s="4">
        <v>45171</v>
      </c>
      <c r="B253">
        <v>40.736400000000003</v>
      </c>
      <c r="D253">
        <v>79.182500000000005</v>
      </c>
      <c r="J253">
        <v>47.117100000000001</v>
      </c>
      <c r="K253" s="10">
        <v>18.2392</v>
      </c>
      <c r="L253">
        <v>11.213699999999999</v>
      </c>
      <c r="N253">
        <v>9.2776999999999994</v>
      </c>
      <c r="O253">
        <v>16.2225</v>
      </c>
      <c r="P253" s="10">
        <v>37.602200000000003</v>
      </c>
      <c r="Q253" s="10">
        <v>26.902000000000001</v>
      </c>
      <c r="R253" s="10"/>
      <c r="S253" s="10">
        <v>87.911500000000004</v>
      </c>
      <c r="T253" s="10"/>
      <c r="U253" s="10"/>
      <c r="V253" s="10"/>
      <c r="W253" s="10"/>
      <c r="X253" s="10"/>
      <c r="Y253" s="10"/>
      <c r="Z253" s="10"/>
      <c r="AA253" s="10">
        <v>21.275200000000002</v>
      </c>
      <c r="AB253" s="10"/>
      <c r="AC253" s="10">
        <v>11.7349</v>
      </c>
      <c r="AD253" s="10">
        <v>9.2423999999999999</v>
      </c>
      <c r="AE253" s="10">
        <v>11.52</v>
      </c>
      <c r="AF253" s="10">
        <v>13.0877</v>
      </c>
      <c r="AG253" s="10">
        <v>9.3072999999999997</v>
      </c>
      <c r="AH253" s="10">
        <v>11.0786</v>
      </c>
      <c r="AI253" s="10">
        <v>18.457699999999999</v>
      </c>
      <c r="AJ253" s="10"/>
      <c r="AK253" s="10">
        <v>29.0425</v>
      </c>
      <c r="AL253" s="10">
        <v>16.821100000000001</v>
      </c>
      <c r="AM253" s="10"/>
      <c r="AN253" s="10"/>
      <c r="AO253" s="10">
        <v>5.2237999999999998</v>
      </c>
      <c r="AP253" s="10">
        <v>5.8598999999999997</v>
      </c>
      <c r="AS253">
        <v>23.640499999999999</v>
      </c>
      <c r="AY253">
        <v>11.946099999999999</v>
      </c>
      <c r="BA253">
        <v>23.227499999999999</v>
      </c>
      <c r="BB253">
        <v>14.837199999999999</v>
      </c>
      <c r="BD253">
        <v>14.163500000000001</v>
      </c>
    </row>
    <row r="254" spans="1:56">
      <c r="A254" s="4">
        <v>45178</v>
      </c>
      <c r="B254">
        <v>40.340499999999999</v>
      </c>
      <c r="D254">
        <v>78.444999999999993</v>
      </c>
      <c r="J254">
        <v>46.8613</v>
      </c>
      <c r="K254" s="10">
        <v>18.143000000000001</v>
      </c>
      <c r="L254">
        <v>10.9383</v>
      </c>
      <c r="N254">
        <v>9.2155000000000005</v>
      </c>
      <c r="O254">
        <v>16.0779</v>
      </c>
      <c r="P254" s="10">
        <v>37.243099999999998</v>
      </c>
      <c r="Q254" s="10">
        <v>26.656199999999998</v>
      </c>
      <c r="R254" s="10"/>
      <c r="S254" s="10">
        <v>87.096900000000005</v>
      </c>
      <c r="T254" s="10"/>
      <c r="U254" s="10"/>
      <c r="V254" s="10"/>
      <c r="W254" s="10"/>
      <c r="X254" s="10"/>
      <c r="Y254" s="10"/>
      <c r="Z254" s="10"/>
      <c r="AA254" s="10">
        <v>20.967199999999998</v>
      </c>
      <c r="AB254" s="10"/>
      <c r="AC254" s="10">
        <v>11.5991</v>
      </c>
      <c r="AD254" s="10">
        <v>9.3554999999999993</v>
      </c>
      <c r="AE254" s="10">
        <v>11.3971</v>
      </c>
      <c r="AF254" s="10">
        <v>13.452299999999999</v>
      </c>
      <c r="AG254" s="10">
        <v>9.5594999999999999</v>
      </c>
      <c r="AH254" s="10">
        <v>11.392899999999999</v>
      </c>
      <c r="AI254" s="10">
        <v>18.436599999999999</v>
      </c>
      <c r="AJ254" s="10"/>
      <c r="AK254" s="10">
        <v>28.872199999999999</v>
      </c>
      <c r="AL254" s="10">
        <v>16.679500000000001</v>
      </c>
      <c r="AM254" s="10"/>
      <c r="AN254" s="10"/>
      <c r="AO254" s="10">
        <v>5.1283000000000003</v>
      </c>
      <c r="AP254" s="10">
        <v>5.8177000000000003</v>
      </c>
      <c r="AS254">
        <v>23.469200000000001</v>
      </c>
      <c r="AY254">
        <v>11.9049</v>
      </c>
      <c r="BA254">
        <v>22.952200000000001</v>
      </c>
      <c r="BB254">
        <v>14.6586</v>
      </c>
      <c r="BD254">
        <v>14.0464</v>
      </c>
    </row>
    <row r="255" spans="1:56">
      <c r="A255" s="4">
        <v>45185</v>
      </c>
      <c r="B255">
        <v>40.227600000000002</v>
      </c>
      <c r="D255">
        <v>78.227900000000005</v>
      </c>
      <c r="J255">
        <v>46.781300000000002</v>
      </c>
      <c r="K255" s="10">
        <v>18.1234</v>
      </c>
      <c r="L255">
        <v>10.9567</v>
      </c>
      <c r="N255">
        <v>9.2646999999999995</v>
      </c>
      <c r="O255">
        <v>15.692399999999999</v>
      </c>
      <c r="P255" s="10">
        <v>37.077100000000002</v>
      </c>
      <c r="Q255" s="10">
        <v>26.568300000000001</v>
      </c>
      <c r="R255" s="10"/>
      <c r="S255" s="10">
        <v>86.687200000000004</v>
      </c>
      <c r="T255" s="10"/>
      <c r="U255" s="10"/>
      <c r="V255" s="10"/>
      <c r="W255" s="10"/>
      <c r="X255" s="10"/>
      <c r="Y255" s="10"/>
      <c r="Z255" s="10"/>
      <c r="AA255" s="10">
        <v>21.2669</v>
      </c>
      <c r="AB255" s="10"/>
      <c r="AC255" s="10">
        <v>11.7616</v>
      </c>
      <c r="AD255" s="10">
        <v>9.2903000000000002</v>
      </c>
      <c r="AE255" s="10">
        <v>11.0829</v>
      </c>
      <c r="AF255" s="10">
        <v>13.3513</v>
      </c>
      <c r="AG255" s="10">
        <v>9.4879999999999995</v>
      </c>
      <c r="AH255" s="10">
        <v>10.9847</v>
      </c>
      <c r="AI255" s="10">
        <v>18.209</v>
      </c>
      <c r="AJ255" s="10"/>
      <c r="AK255" s="10">
        <v>28.823799999999999</v>
      </c>
      <c r="AL255" s="10">
        <v>16.607099999999999</v>
      </c>
      <c r="AM255" s="10"/>
      <c r="AN255" s="10"/>
      <c r="AO255" s="10">
        <v>5.09</v>
      </c>
      <c r="AP255" s="10">
        <v>5.7651000000000003</v>
      </c>
      <c r="AS255">
        <v>23.445699999999999</v>
      </c>
      <c r="AY255">
        <v>11.957700000000001</v>
      </c>
      <c r="BA255">
        <v>23.226099999999999</v>
      </c>
      <c r="BB255">
        <v>14.8331</v>
      </c>
      <c r="BD255">
        <v>14.2502</v>
      </c>
    </row>
    <row r="256" spans="1:56">
      <c r="A256" s="4">
        <v>45192</v>
      </c>
      <c r="B256">
        <v>39.8675</v>
      </c>
      <c r="D256">
        <v>77.529899999999998</v>
      </c>
      <c r="J256">
        <v>46.0428</v>
      </c>
      <c r="K256" s="10">
        <v>17.797599999999999</v>
      </c>
      <c r="L256">
        <v>10.315799999999999</v>
      </c>
      <c r="N256">
        <v>9.0375999999999994</v>
      </c>
      <c r="O256">
        <v>15.5966</v>
      </c>
      <c r="P256" s="10">
        <v>36.725900000000003</v>
      </c>
      <c r="Q256" s="10">
        <v>26.3309</v>
      </c>
      <c r="R256" s="10"/>
      <c r="S256" s="10">
        <v>85.895099999999999</v>
      </c>
      <c r="T256" s="10"/>
      <c r="U256" s="10"/>
      <c r="V256" s="10"/>
      <c r="W256" s="10"/>
      <c r="X256" s="10"/>
      <c r="Y256" s="10"/>
      <c r="Z256" s="10"/>
      <c r="AA256" s="10">
        <v>20.168199999999999</v>
      </c>
      <c r="AB256" s="10"/>
      <c r="AC256" s="10">
        <v>11.3506</v>
      </c>
      <c r="AD256" s="10">
        <v>8.9867000000000008</v>
      </c>
      <c r="AE256" s="10">
        <v>10.9983</v>
      </c>
      <c r="AF256" s="10">
        <v>12.9975</v>
      </c>
      <c r="AG256" s="10">
        <v>9.2433999999999994</v>
      </c>
      <c r="AH256" s="10">
        <v>10.9552</v>
      </c>
      <c r="AI256" s="10">
        <v>18.002300000000002</v>
      </c>
      <c r="AJ256" s="10"/>
      <c r="AK256" s="10">
        <v>28.701699999999999</v>
      </c>
      <c r="AL256" s="10">
        <v>15.527100000000001</v>
      </c>
      <c r="AM256" s="10"/>
      <c r="AN256" s="10"/>
      <c r="AO256" s="10">
        <v>4.9024999999999999</v>
      </c>
      <c r="AP256" s="10">
        <v>5.6254</v>
      </c>
      <c r="AS256">
        <v>23.2819</v>
      </c>
      <c r="AY256">
        <v>11.5192</v>
      </c>
      <c r="BA256">
        <v>22.303699999999999</v>
      </c>
      <c r="BB256">
        <v>14.2453</v>
      </c>
      <c r="BD256">
        <v>14.0694</v>
      </c>
    </row>
    <row r="257" spans="1:56">
      <c r="A257" s="4">
        <v>45199</v>
      </c>
      <c r="B257">
        <v>39.1081</v>
      </c>
      <c r="D257">
        <v>76.077600000000004</v>
      </c>
      <c r="J257">
        <v>45.204300000000003</v>
      </c>
      <c r="K257" s="10">
        <v>17.4375</v>
      </c>
      <c r="L257">
        <v>10.186500000000001</v>
      </c>
      <c r="N257">
        <v>8.9147999999999996</v>
      </c>
      <c r="O257">
        <v>15.218</v>
      </c>
      <c r="P257" s="10">
        <v>36.043999999999997</v>
      </c>
      <c r="Q257" s="10">
        <v>25.950500000000002</v>
      </c>
      <c r="R257" s="10"/>
      <c r="S257" s="10">
        <v>84.304500000000004</v>
      </c>
      <c r="T257" s="10"/>
      <c r="U257" s="10"/>
      <c r="V257" s="10"/>
      <c r="W257" s="10"/>
      <c r="X257" s="10"/>
      <c r="Y257" s="10"/>
      <c r="Z257" s="10"/>
      <c r="AA257" s="10">
        <v>20.193100000000001</v>
      </c>
      <c r="AB257" s="10"/>
      <c r="AC257" s="10">
        <v>11.2685</v>
      </c>
      <c r="AD257" s="10">
        <v>8.7440999999999995</v>
      </c>
      <c r="AE257" s="10">
        <v>10.6837</v>
      </c>
      <c r="AF257" s="10">
        <v>12.843400000000001</v>
      </c>
      <c r="AG257" s="10">
        <v>9.1306999999999992</v>
      </c>
      <c r="AH257" s="10">
        <v>11.1715</v>
      </c>
      <c r="AI257" s="10">
        <v>17.363</v>
      </c>
      <c r="AJ257" s="10"/>
      <c r="AK257" s="10">
        <v>28.5365</v>
      </c>
      <c r="AL257" s="10">
        <v>16.149999999999999</v>
      </c>
      <c r="AM257" s="10"/>
      <c r="AN257" s="10"/>
      <c r="AO257" s="10">
        <v>4.8794000000000004</v>
      </c>
      <c r="AP257" s="10">
        <v>5.4409999999999998</v>
      </c>
      <c r="AS257">
        <v>22.624199999999998</v>
      </c>
      <c r="AY257">
        <v>11.4771</v>
      </c>
      <c r="BA257">
        <v>22.139199999999999</v>
      </c>
      <c r="BB257">
        <v>14.142099999999999</v>
      </c>
      <c r="BD257">
        <v>13.8878</v>
      </c>
    </row>
    <row r="258" spans="1:56">
      <c r="A258" s="4">
        <v>45206</v>
      </c>
      <c r="B258">
        <v>38.366599999999998</v>
      </c>
      <c r="D258">
        <v>74.678700000000006</v>
      </c>
      <c r="J258">
        <v>44.288200000000003</v>
      </c>
      <c r="K258" s="10">
        <v>17.1328</v>
      </c>
      <c r="L258">
        <v>10.3187</v>
      </c>
      <c r="N258">
        <v>8.8963000000000001</v>
      </c>
      <c r="O258">
        <v>15.4422</v>
      </c>
      <c r="P258" s="10">
        <v>35.404299999999999</v>
      </c>
      <c r="Q258" s="10">
        <v>25.588000000000001</v>
      </c>
      <c r="R258" s="10"/>
      <c r="S258" s="10">
        <v>82.830600000000004</v>
      </c>
      <c r="T258" s="10"/>
      <c r="U258" s="10"/>
      <c r="V258" s="10"/>
      <c r="W258" s="10"/>
      <c r="X258" s="10"/>
      <c r="Y258" s="10"/>
      <c r="Z258" s="10"/>
      <c r="AA258" s="10">
        <v>20.222000000000001</v>
      </c>
      <c r="AB258" s="10"/>
      <c r="AC258" s="10">
        <v>11.0985</v>
      </c>
      <c r="AD258" s="10">
        <v>8.7795000000000005</v>
      </c>
      <c r="AE258" s="10">
        <v>10.8249</v>
      </c>
      <c r="AF258" s="10">
        <v>12.667400000000001</v>
      </c>
      <c r="AG258" s="10">
        <v>9.0078999999999994</v>
      </c>
      <c r="AH258" s="10">
        <v>11.1715</v>
      </c>
      <c r="AI258" s="10">
        <v>16.8947</v>
      </c>
      <c r="AJ258" s="10"/>
      <c r="AK258" s="10">
        <v>28.327400000000001</v>
      </c>
      <c r="AL258" s="10">
        <v>15.8933</v>
      </c>
      <c r="AM258" s="10"/>
      <c r="AN258" s="10"/>
      <c r="AO258" s="10">
        <v>4.8231999999999999</v>
      </c>
      <c r="AP258" s="10">
        <v>5.4977999999999998</v>
      </c>
      <c r="AS258">
        <v>22.165299999999998</v>
      </c>
      <c r="AY258">
        <v>11.3916</v>
      </c>
      <c r="BA258">
        <v>21.8931</v>
      </c>
      <c r="BB258">
        <v>13.985300000000001</v>
      </c>
      <c r="BD258">
        <v>13.6653</v>
      </c>
    </row>
    <row r="259" spans="1:56">
      <c r="A259" s="4">
        <v>45213</v>
      </c>
      <c r="B259">
        <v>38.634099999999997</v>
      </c>
      <c r="D259">
        <v>75.196299999999994</v>
      </c>
      <c r="J259">
        <v>44.723100000000002</v>
      </c>
      <c r="K259" s="10">
        <v>17.313500000000001</v>
      </c>
      <c r="L259">
        <v>10.7742</v>
      </c>
      <c r="N259">
        <v>9.0952000000000002</v>
      </c>
      <c r="O259">
        <v>15.648099999999999</v>
      </c>
      <c r="P259" s="10">
        <v>35.346600000000002</v>
      </c>
      <c r="Q259" s="10">
        <v>25.528400000000001</v>
      </c>
      <c r="R259" s="10"/>
      <c r="S259" s="10">
        <v>82.645300000000006</v>
      </c>
      <c r="T259" s="10"/>
      <c r="U259" s="10"/>
      <c r="V259" s="10"/>
      <c r="W259" s="10"/>
      <c r="X259" s="10"/>
      <c r="Y259" s="10"/>
      <c r="Z259" s="10"/>
      <c r="AA259" s="10">
        <v>20.916</v>
      </c>
      <c r="AB259" s="10"/>
      <c r="AC259" s="10">
        <v>11.4146</v>
      </c>
      <c r="AD259" s="10">
        <v>8.8796999999999997</v>
      </c>
      <c r="AE259" s="10">
        <v>11.006500000000001</v>
      </c>
      <c r="AF259" s="10">
        <v>12.6264</v>
      </c>
      <c r="AG259" s="10">
        <v>8.9830000000000005</v>
      </c>
      <c r="AH259" s="10">
        <v>10.728199999999999</v>
      </c>
      <c r="AI259" s="10">
        <v>17.119199999999999</v>
      </c>
      <c r="AJ259" s="10"/>
      <c r="AK259" s="10">
        <v>28.379899999999999</v>
      </c>
      <c r="AL259" s="10">
        <v>16.033200000000001</v>
      </c>
      <c r="AM259" s="10"/>
      <c r="AN259" s="10"/>
      <c r="AO259" s="10">
        <v>4.9724000000000004</v>
      </c>
      <c r="AP259" s="10">
        <v>5.6414</v>
      </c>
      <c r="AS259">
        <v>22.508099999999999</v>
      </c>
      <c r="AY259">
        <v>11.6372</v>
      </c>
      <c r="BA259">
        <v>22.4846</v>
      </c>
      <c r="BB259">
        <v>14.365600000000001</v>
      </c>
      <c r="BD259">
        <v>14.004300000000001</v>
      </c>
    </row>
    <row r="260" spans="1:56">
      <c r="A260" s="4">
        <v>45220</v>
      </c>
      <c r="B260">
        <v>37.3476</v>
      </c>
      <c r="D260">
        <v>72.756799999999998</v>
      </c>
      <c r="J260">
        <v>43.006999999999998</v>
      </c>
      <c r="K260" s="10">
        <v>16.676100000000002</v>
      </c>
      <c r="L260">
        <v>10.5131</v>
      </c>
      <c r="N260">
        <v>8.7850000000000001</v>
      </c>
      <c r="O260">
        <v>15.072900000000001</v>
      </c>
      <c r="P260" s="10">
        <v>33.999000000000002</v>
      </c>
      <c r="Q260" s="10">
        <v>24.748699999999999</v>
      </c>
      <c r="R260" s="10"/>
      <c r="S260" s="10">
        <v>79.577299999999994</v>
      </c>
      <c r="T260" s="10"/>
      <c r="U260" s="10"/>
      <c r="V260" s="10"/>
      <c r="W260" s="10"/>
      <c r="X260" s="10"/>
      <c r="Y260" s="10"/>
      <c r="Z260" s="10"/>
      <c r="AA260" s="10">
        <v>20.253499999999999</v>
      </c>
      <c r="AB260" s="10"/>
      <c r="AC260" s="10">
        <v>11.0876</v>
      </c>
      <c r="AD260" s="10">
        <v>8.6414000000000009</v>
      </c>
      <c r="AE260" s="10">
        <v>10.612299999999999</v>
      </c>
      <c r="AF260" s="10">
        <v>12.176</v>
      </c>
      <c r="AG260" s="10">
        <v>8.6567000000000007</v>
      </c>
      <c r="AH260" s="10">
        <v>10.6662</v>
      </c>
      <c r="AI260" s="10">
        <v>16.283200000000001</v>
      </c>
      <c r="AJ260" s="10"/>
      <c r="AK260" s="10">
        <v>28.0015</v>
      </c>
      <c r="AL260" s="10">
        <v>15.5343</v>
      </c>
      <c r="AM260" s="10"/>
      <c r="AN260" s="10"/>
      <c r="AO260" s="10">
        <v>4.6295000000000002</v>
      </c>
      <c r="AP260" s="10">
        <v>5.4851000000000001</v>
      </c>
      <c r="AS260">
        <v>21.950900000000001</v>
      </c>
      <c r="AY260">
        <v>11.4884</v>
      </c>
      <c r="BA260">
        <v>21.965199999999999</v>
      </c>
      <c r="BB260">
        <v>14.030799999999999</v>
      </c>
      <c r="BD260">
        <v>13.591699999999999</v>
      </c>
    </row>
    <row r="261" spans="1:56">
      <c r="A261" s="4">
        <v>45228</v>
      </c>
      <c r="B261">
        <v>37.064500000000002</v>
      </c>
      <c r="D261">
        <v>72.202299999999994</v>
      </c>
      <c r="J261">
        <v>42.571199999999997</v>
      </c>
      <c r="K261" s="10">
        <v>16.563600000000001</v>
      </c>
      <c r="L261">
        <v>10.040699999999999</v>
      </c>
      <c r="N261">
        <v>8.6312999999999995</v>
      </c>
      <c r="O261">
        <v>14.4657</v>
      </c>
      <c r="P261" s="10">
        <v>33.678800000000003</v>
      </c>
      <c r="Q261" s="10">
        <v>24.5608</v>
      </c>
      <c r="R261" s="10"/>
      <c r="S261" s="10">
        <v>78.838499999999996</v>
      </c>
      <c r="T261" s="10"/>
      <c r="U261" s="10"/>
      <c r="V261" s="10"/>
      <c r="W261" s="10"/>
      <c r="X261" s="10"/>
      <c r="Y261" s="10"/>
      <c r="Z261" s="10"/>
      <c r="AA261" s="10">
        <v>19.271799999999999</v>
      </c>
      <c r="AB261" s="10"/>
      <c r="AC261" s="10">
        <v>10.749599999999999</v>
      </c>
      <c r="AD261" s="10">
        <v>8.2771000000000008</v>
      </c>
      <c r="AE261" s="10">
        <v>10.178599999999999</v>
      </c>
      <c r="AF261" s="10">
        <v>11.3987</v>
      </c>
      <c r="AG261" s="10">
        <v>8.1207999999999991</v>
      </c>
      <c r="AH261" s="10">
        <v>10.404299999999999</v>
      </c>
      <c r="AI261" s="10">
        <v>16.139500000000002</v>
      </c>
      <c r="AJ261" s="10"/>
      <c r="AK261" s="10">
        <v>28.0246</v>
      </c>
      <c r="AL261" s="10">
        <v>15.4434</v>
      </c>
      <c r="AM261" s="10"/>
      <c r="AN261" s="10"/>
      <c r="AO261" s="10">
        <v>4.5918000000000001</v>
      </c>
      <c r="AP261" s="10">
        <v>5.2361000000000004</v>
      </c>
      <c r="AS261">
        <v>21.6404</v>
      </c>
      <c r="AY261">
        <v>11.0663</v>
      </c>
      <c r="BA261">
        <v>21.2197</v>
      </c>
      <c r="BB261">
        <v>13.554500000000001</v>
      </c>
      <c r="BD261">
        <v>13.390599999999999</v>
      </c>
    </row>
    <row r="262" spans="1:56">
      <c r="A262" s="4">
        <v>45234</v>
      </c>
      <c r="B262">
        <v>37.673400000000001</v>
      </c>
      <c r="D262">
        <v>73.347700000000003</v>
      </c>
      <c r="J262">
        <v>43.198599999999999</v>
      </c>
      <c r="K262" s="10">
        <v>16.889299999999999</v>
      </c>
      <c r="L262">
        <v>10.559799999999999</v>
      </c>
      <c r="N262">
        <v>8.7668999999999997</v>
      </c>
      <c r="O262">
        <v>15.1197</v>
      </c>
      <c r="P262" s="10">
        <v>34.374600000000001</v>
      </c>
      <c r="Q262" s="10">
        <v>25.008900000000001</v>
      </c>
      <c r="R262" s="10"/>
      <c r="S262" s="10">
        <v>80.415099999999995</v>
      </c>
      <c r="T262" s="10"/>
      <c r="U262" s="10"/>
      <c r="V262" s="10"/>
      <c r="W262" s="10"/>
      <c r="X262" s="10"/>
      <c r="Y262" s="10"/>
      <c r="Z262" s="10"/>
      <c r="AA262" s="10">
        <v>20.381799999999998</v>
      </c>
      <c r="AB262" s="10"/>
      <c r="AC262" s="10">
        <v>11.2098</v>
      </c>
      <c r="AD262" s="10">
        <v>8.3645999999999994</v>
      </c>
      <c r="AE262" s="10">
        <v>10.6669</v>
      </c>
      <c r="AF262" s="10">
        <v>11.448700000000001</v>
      </c>
      <c r="AG262" s="10">
        <v>8.1651000000000007</v>
      </c>
      <c r="AH262" s="10">
        <v>10.5274</v>
      </c>
      <c r="AI262" s="10">
        <v>16.462800000000001</v>
      </c>
      <c r="AJ262" s="10"/>
      <c r="AK262" s="10">
        <v>28.243200000000002</v>
      </c>
      <c r="AL262" s="10">
        <v>15.7035</v>
      </c>
      <c r="AM262" s="10"/>
      <c r="AN262" s="10"/>
      <c r="AO262" s="10">
        <v>4.5968</v>
      </c>
      <c r="AP262" s="10">
        <v>5.3345000000000002</v>
      </c>
      <c r="AS262">
        <v>22.004300000000001</v>
      </c>
      <c r="AY262">
        <v>11.523400000000001</v>
      </c>
      <c r="BA262">
        <v>22.116700000000002</v>
      </c>
      <c r="BB262">
        <v>14.1242</v>
      </c>
      <c r="BD262">
        <v>13.7142</v>
      </c>
    </row>
    <row r="263" spans="1:56">
      <c r="A263" s="4">
        <v>45241</v>
      </c>
      <c r="B263">
        <v>36.991100000000003</v>
      </c>
      <c r="D263">
        <v>72.068399999999997</v>
      </c>
      <c r="J263">
        <v>42.1922</v>
      </c>
      <c r="K263" s="10">
        <v>16.147400000000001</v>
      </c>
      <c r="L263">
        <v>11.0275</v>
      </c>
      <c r="N263">
        <v>8.9375</v>
      </c>
      <c r="O263">
        <v>15.3498</v>
      </c>
      <c r="P263" s="10">
        <v>33.4724</v>
      </c>
      <c r="Q263" s="10">
        <v>24.4481</v>
      </c>
      <c r="R263" s="10"/>
      <c r="S263" s="10">
        <v>78.311300000000003</v>
      </c>
      <c r="T263" s="10"/>
      <c r="U263" s="10"/>
      <c r="V263" s="10"/>
      <c r="W263" s="10"/>
      <c r="X263" s="10"/>
      <c r="Y263" s="10"/>
      <c r="Z263" s="10"/>
      <c r="AA263" s="10">
        <v>20.712700000000002</v>
      </c>
      <c r="AB263" s="10"/>
      <c r="AC263" s="10">
        <v>11.249700000000001</v>
      </c>
      <c r="AD263" s="10">
        <v>8.6318000000000001</v>
      </c>
      <c r="AE263" s="10">
        <v>10.85</v>
      </c>
      <c r="AF263" s="10">
        <v>11.861700000000001</v>
      </c>
      <c r="AG263" s="10">
        <v>8.4483999999999995</v>
      </c>
      <c r="AH263" s="10">
        <v>10.480499999999999</v>
      </c>
      <c r="AI263" s="10">
        <v>16.209</v>
      </c>
      <c r="AJ263" s="10"/>
      <c r="AK263" s="10">
        <v>28.1099</v>
      </c>
      <c r="AL263" s="10">
        <v>15.41</v>
      </c>
      <c r="AM263" s="10"/>
      <c r="AN263" s="10"/>
      <c r="AO263" s="10">
        <v>4.7554999999999996</v>
      </c>
      <c r="AP263" s="10">
        <v>5.6196000000000002</v>
      </c>
      <c r="AS263">
        <v>21.584099999999999</v>
      </c>
      <c r="AY263">
        <v>11.6381</v>
      </c>
      <c r="BA263">
        <v>22.241800000000001</v>
      </c>
      <c r="BB263">
        <v>14.201499999999999</v>
      </c>
      <c r="BD263">
        <v>13.82</v>
      </c>
    </row>
    <row r="264" spans="1:56">
      <c r="A264" s="4">
        <v>45248</v>
      </c>
      <c r="B264">
        <v>37.455199999999998</v>
      </c>
      <c r="D264">
        <v>72.943600000000004</v>
      </c>
      <c r="J264">
        <v>42.578200000000002</v>
      </c>
      <c r="K264" s="10">
        <v>16.404800000000002</v>
      </c>
      <c r="L264">
        <v>11.4832</v>
      </c>
      <c r="N264">
        <v>9.1392000000000007</v>
      </c>
      <c r="O264">
        <v>16.049399999999999</v>
      </c>
      <c r="P264" s="10">
        <v>33.8294</v>
      </c>
      <c r="Q264" s="10">
        <v>24.656700000000001</v>
      </c>
      <c r="R264" s="10"/>
      <c r="S264" s="10">
        <v>79.110200000000006</v>
      </c>
      <c r="T264" s="10"/>
      <c r="U264" s="10"/>
      <c r="V264" s="10"/>
      <c r="W264" s="10"/>
      <c r="X264" s="10"/>
      <c r="Y264" s="10"/>
      <c r="Z264" s="10"/>
      <c r="AA264" s="10">
        <v>21.607900000000001</v>
      </c>
      <c r="AB264" s="10"/>
      <c r="AC264" s="10">
        <v>11.6455</v>
      </c>
      <c r="AD264" s="10">
        <v>8.9924999999999997</v>
      </c>
      <c r="AE264" s="10">
        <v>11.306100000000001</v>
      </c>
      <c r="AF264" s="10">
        <v>11.674099999999999</v>
      </c>
      <c r="AG264" s="10">
        <v>8.3096999999999994</v>
      </c>
      <c r="AH264" s="10">
        <v>10.288500000000001</v>
      </c>
      <c r="AI264" s="10">
        <v>16.542000000000002</v>
      </c>
      <c r="AJ264" s="10"/>
      <c r="AK264" s="10">
        <v>28.253299999999999</v>
      </c>
      <c r="AL264" s="10">
        <v>15.526999999999999</v>
      </c>
      <c r="AM264" s="10"/>
      <c r="AN264" s="10"/>
      <c r="AO264" s="10">
        <v>4.7995999999999999</v>
      </c>
      <c r="AP264" s="10">
        <v>5.8178999999999998</v>
      </c>
      <c r="AS264">
        <v>21.796600000000002</v>
      </c>
      <c r="AY264">
        <v>11.9899</v>
      </c>
      <c r="BA264">
        <v>23.040199999999999</v>
      </c>
      <c r="BB264">
        <v>14.7058</v>
      </c>
      <c r="BD264">
        <v>13.9407</v>
      </c>
    </row>
    <row r="265" spans="1:56">
      <c r="A265" s="4">
        <v>45255</v>
      </c>
      <c r="B265">
        <v>36.8887</v>
      </c>
      <c r="D265">
        <v>71.863600000000005</v>
      </c>
      <c r="J265">
        <v>42.174199999999999</v>
      </c>
      <c r="K265" s="10">
        <v>16.267800000000001</v>
      </c>
      <c r="L265">
        <v>11.650600000000001</v>
      </c>
      <c r="N265">
        <v>9.2714999999999996</v>
      </c>
      <c r="O265">
        <v>16.3017</v>
      </c>
      <c r="P265" s="10">
        <v>33.331699999999998</v>
      </c>
      <c r="Q265" s="10">
        <v>24.365400000000001</v>
      </c>
      <c r="R265" s="10"/>
      <c r="S265" s="10">
        <v>77.995800000000003</v>
      </c>
      <c r="T265" s="10"/>
      <c r="U265" s="10"/>
      <c r="V265" s="10"/>
      <c r="W265" s="10"/>
      <c r="X265" s="10"/>
      <c r="Y265" s="10"/>
      <c r="Z265" s="10"/>
      <c r="AA265" s="10">
        <v>21.8125</v>
      </c>
      <c r="AB265" s="10"/>
      <c r="AC265" s="10">
        <v>11.7666</v>
      </c>
      <c r="AD265" s="10">
        <v>8.9863</v>
      </c>
      <c r="AE265" s="10">
        <v>11.413399999999999</v>
      </c>
      <c r="AF265" s="10">
        <v>11.591900000000001</v>
      </c>
      <c r="AG265" s="10">
        <v>8.2538</v>
      </c>
      <c r="AH265" s="10">
        <v>10.2713</v>
      </c>
      <c r="AI265" s="10">
        <v>16.5137</v>
      </c>
      <c r="AJ265" s="10"/>
      <c r="AK265" s="10">
        <v>28.139600000000002</v>
      </c>
      <c r="AL265" s="10">
        <v>15.3291</v>
      </c>
      <c r="AM265" s="10"/>
      <c r="AN265" s="10"/>
      <c r="AO265" s="10">
        <v>4.7938000000000001</v>
      </c>
      <c r="AP265" s="10">
        <v>5.8779000000000003</v>
      </c>
      <c r="AS265">
        <v>21.7029</v>
      </c>
      <c r="AY265">
        <v>12.1441</v>
      </c>
      <c r="BA265">
        <v>23.2559</v>
      </c>
      <c r="BB265">
        <v>14.8429</v>
      </c>
      <c r="BD265">
        <v>14.1754</v>
      </c>
    </row>
    <row r="266" spans="1:56">
      <c r="A266" s="4">
        <v>45262</v>
      </c>
      <c r="B266">
        <v>36.5501</v>
      </c>
      <c r="D266">
        <v>71.211799999999997</v>
      </c>
      <c r="J266">
        <v>41.688899999999997</v>
      </c>
      <c r="K266" s="10">
        <v>16.104199999999999</v>
      </c>
      <c r="L266">
        <v>11.7628</v>
      </c>
      <c r="N266">
        <v>9.0861999999999998</v>
      </c>
      <c r="O266">
        <v>16.367899999999999</v>
      </c>
      <c r="P266" s="10">
        <v>32.912599999999998</v>
      </c>
      <c r="Q266" s="10">
        <v>24.116199999999999</v>
      </c>
      <c r="R266" s="10"/>
      <c r="S266" s="10">
        <v>77.044600000000003</v>
      </c>
      <c r="T266" s="10"/>
      <c r="U266" s="10"/>
      <c r="V266" s="10"/>
      <c r="W266" s="10"/>
      <c r="X266" s="10"/>
      <c r="Y266" s="10"/>
      <c r="Z266" s="10"/>
      <c r="AA266" s="10">
        <v>21.4222</v>
      </c>
      <c r="AB266" s="10"/>
      <c r="AC266" s="10">
        <v>11.8</v>
      </c>
      <c r="AD266" s="10">
        <v>9.0617999999999999</v>
      </c>
      <c r="AE266" s="10">
        <v>11.5335</v>
      </c>
      <c r="AF266" s="10">
        <v>11.498799999999999</v>
      </c>
      <c r="AG266" s="10">
        <v>8.1828000000000003</v>
      </c>
      <c r="AH266" s="10">
        <v>10.0222</v>
      </c>
      <c r="AI266" s="10">
        <v>16.320799999999998</v>
      </c>
      <c r="AJ266" s="10"/>
      <c r="AK266" s="10">
        <v>28.083300000000001</v>
      </c>
      <c r="AL266" s="10">
        <v>15.2041</v>
      </c>
      <c r="AM266" s="10"/>
      <c r="AN266" s="10"/>
      <c r="AO266" s="10">
        <v>4.7131999999999996</v>
      </c>
      <c r="AP266" s="10">
        <v>5.9211</v>
      </c>
      <c r="AS266">
        <v>21.4541</v>
      </c>
      <c r="AY266">
        <v>12.1896</v>
      </c>
      <c r="BA266">
        <v>23.293199999999999</v>
      </c>
      <c r="BB266">
        <v>14.8672</v>
      </c>
      <c r="BD266">
        <v>14.238</v>
      </c>
    </row>
    <row r="267" spans="1:56">
      <c r="A267" s="4">
        <v>45269</v>
      </c>
      <c r="B267">
        <v>36.500900000000001</v>
      </c>
      <c r="D267">
        <v>71.110900000000001</v>
      </c>
      <c r="J267">
        <v>41.417299999999997</v>
      </c>
      <c r="K267" s="10">
        <v>15.9686</v>
      </c>
      <c r="L267">
        <v>11.6008</v>
      </c>
      <c r="N267">
        <v>8.6776</v>
      </c>
      <c r="O267">
        <v>16.591100000000001</v>
      </c>
      <c r="P267" s="10">
        <v>32.974400000000003</v>
      </c>
      <c r="Q267" s="10">
        <v>24.150700000000001</v>
      </c>
      <c r="R267" s="10"/>
      <c r="S267" s="10">
        <v>77.189499999999995</v>
      </c>
      <c r="T267" s="10"/>
      <c r="U267" s="10"/>
      <c r="V267" s="10"/>
      <c r="W267" s="10"/>
      <c r="X267" s="10"/>
      <c r="Y267" s="10"/>
      <c r="Z267" s="10"/>
      <c r="AA267" s="10">
        <v>21.500399999999999</v>
      </c>
      <c r="AB267" s="10"/>
      <c r="AC267" s="10">
        <v>11.8339</v>
      </c>
      <c r="AD267" s="10">
        <v>9.0715000000000003</v>
      </c>
      <c r="AE267" s="10">
        <v>11.751099999999999</v>
      </c>
      <c r="AF267" s="10">
        <v>11.8712</v>
      </c>
      <c r="AG267" s="10">
        <v>8.4412000000000003</v>
      </c>
      <c r="AH267" s="10">
        <v>9.8025000000000002</v>
      </c>
      <c r="AI267" s="10">
        <v>16.299199999999999</v>
      </c>
      <c r="AJ267" s="10"/>
      <c r="AK267" s="10">
        <v>28.124099999999999</v>
      </c>
      <c r="AL267" s="10">
        <v>15.1546</v>
      </c>
      <c r="AM267" s="10"/>
      <c r="AN267" s="10"/>
      <c r="AO267" s="10">
        <v>4.4588000000000001</v>
      </c>
      <c r="AP267" s="10">
        <v>5.8944999999999999</v>
      </c>
      <c r="AS267">
        <v>21.377800000000001</v>
      </c>
      <c r="AY267">
        <v>12.1021</v>
      </c>
      <c r="BA267">
        <v>23.371500000000001</v>
      </c>
      <c r="BB267">
        <v>14.919499999999999</v>
      </c>
      <c r="BD267">
        <v>14.452500000000001</v>
      </c>
    </row>
    <row r="268" spans="1:56">
      <c r="A268" s="4">
        <v>45276</v>
      </c>
      <c r="B268">
        <v>36.9771</v>
      </c>
      <c r="D268">
        <v>72.006699999999995</v>
      </c>
      <c r="J268">
        <v>41.646799999999999</v>
      </c>
      <c r="K268" s="10">
        <v>16.1389</v>
      </c>
      <c r="L268">
        <v>12.169600000000001</v>
      </c>
      <c r="N268">
        <v>8.7782999999999998</v>
      </c>
      <c r="O268">
        <v>17.310099999999998</v>
      </c>
      <c r="P268" s="10">
        <v>33.163600000000002</v>
      </c>
      <c r="Q268" s="10">
        <v>24.2761</v>
      </c>
      <c r="R268" s="10"/>
      <c r="S268" s="10">
        <v>77.606200000000001</v>
      </c>
      <c r="T268" s="10"/>
      <c r="U268" s="10"/>
      <c r="V268" s="10"/>
      <c r="W268" s="10"/>
      <c r="X268" s="10"/>
      <c r="Y268" s="10"/>
      <c r="Z268" s="10"/>
      <c r="AA268" s="10">
        <v>22.1661</v>
      </c>
      <c r="AB268" s="10"/>
      <c r="AC268" s="10">
        <v>12.181699999999999</v>
      </c>
      <c r="AD268" s="10">
        <v>9.3633000000000006</v>
      </c>
      <c r="AE268" s="10">
        <v>12.2362</v>
      </c>
      <c r="AF268" s="10">
        <v>11.5137</v>
      </c>
      <c r="AG268" s="10">
        <v>8.1960999999999995</v>
      </c>
      <c r="AH268" s="10">
        <v>9.6174999999999997</v>
      </c>
      <c r="AI268" s="10">
        <v>16.370100000000001</v>
      </c>
      <c r="AJ268" s="10"/>
      <c r="AK268" s="10">
        <v>28.2606</v>
      </c>
      <c r="AL268" s="10">
        <v>15.3287</v>
      </c>
      <c r="AM268" s="10"/>
      <c r="AN268" s="10"/>
      <c r="AO268" s="10">
        <v>4.4509999999999996</v>
      </c>
      <c r="AP268" s="10">
        <v>6.1707999999999998</v>
      </c>
      <c r="AS268">
        <v>21.394100000000002</v>
      </c>
      <c r="AY268">
        <v>12.029</v>
      </c>
      <c r="BA268">
        <v>23.725999999999999</v>
      </c>
      <c r="BB268">
        <v>15.351699999999999</v>
      </c>
      <c r="BD268">
        <v>14.6957</v>
      </c>
    </row>
    <row r="269" spans="1:56">
      <c r="A269" s="4">
        <v>45283</v>
      </c>
      <c r="B269">
        <v>37.139400000000002</v>
      </c>
      <c r="D269">
        <v>72.33</v>
      </c>
      <c r="J269">
        <v>42.128500000000003</v>
      </c>
      <c r="K269" s="10">
        <v>16.3536</v>
      </c>
      <c r="L269">
        <v>12.1349</v>
      </c>
      <c r="N269">
        <v>8.7992000000000008</v>
      </c>
      <c r="O269">
        <v>17.287099999999999</v>
      </c>
      <c r="P269" s="10">
        <v>33.251600000000003</v>
      </c>
      <c r="Q269" s="10">
        <v>24.322700000000001</v>
      </c>
      <c r="R269" s="10"/>
      <c r="S269" s="10">
        <v>77.783600000000007</v>
      </c>
      <c r="T269" s="10"/>
      <c r="U269" s="10"/>
      <c r="V269" s="10"/>
      <c r="W269" s="10"/>
      <c r="X269" s="10"/>
      <c r="Y269" s="10"/>
      <c r="Z269" s="10"/>
      <c r="AA269" s="10">
        <v>22.4146</v>
      </c>
      <c r="AB269" s="10"/>
      <c r="AC269" s="10">
        <v>12.214399999999999</v>
      </c>
      <c r="AD269" s="10">
        <v>9.3802000000000003</v>
      </c>
      <c r="AE269" s="10">
        <v>12.231400000000001</v>
      </c>
      <c r="AF269" s="10">
        <v>11.483599999999999</v>
      </c>
      <c r="AG269" s="10">
        <v>8.1761999999999997</v>
      </c>
      <c r="AH269" s="10">
        <v>9.6410999999999998</v>
      </c>
      <c r="AI269" s="10">
        <v>16.693100000000001</v>
      </c>
      <c r="AJ269" s="10"/>
      <c r="AK269" s="10">
        <v>28.316400000000002</v>
      </c>
      <c r="AL269" s="10">
        <v>15.383100000000001</v>
      </c>
      <c r="AM269" s="10"/>
      <c r="AN269" s="10"/>
      <c r="AO269" s="10">
        <v>4.4813999999999998</v>
      </c>
      <c r="AP269" s="10">
        <v>6.0976999999999997</v>
      </c>
      <c r="AS269">
        <v>21.801200000000001</v>
      </c>
      <c r="AY269">
        <v>12.159800000000001</v>
      </c>
      <c r="BA269">
        <v>23.817</v>
      </c>
      <c r="BB269">
        <v>15.41</v>
      </c>
      <c r="BD269">
        <v>14.6951</v>
      </c>
    </row>
    <row r="270" spans="1:56">
      <c r="A270" s="4">
        <v>45290</v>
      </c>
      <c r="B270">
        <v>37.647500000000001</v>
      </c>
      <c r="D270">
        <v>73.288600000000002</v>
      </c>
      <c r="J270">
        <v>42.5105</v>
      </c>
      <c r="K270" s="10">
        <v>16.482600000000001</v>
      </c>
      <c r="L270">
        <v>12.2735</v>
      </c>
      <c r="N270">
        <v>8.6783000000000001</v>
      </c>
      <c r="O270">
        <v>17.376000000000001</v>
      </c>
      <c r="P270" s="10">
        <v>33.591500000000003</v>
      </c>
      <c r="Q270" s="10">
        <v>24.541499999999999</v>
      </c>
      <c r="R270" s="10"/>
      <c r="S270" s="10">
        <v>78.536799999999999</v>
      </c>
      <c r="T270" s="10"/>
      <c r="U270" s="10"/>
      <c r="V270" s="10"/>
      <c r="W270" s="10"/>
      <c r="X270" s="10"/>
      <c r="Y270" s="10"/>
      <c r="Z270" s="10"/>
      <c r="AA270" s="10">
        <v>22.557600000000001</v>
      </c>
      <c r="AB270" s="10"/>
      <c r="AC270" s="10">
        <v>12.298500000000001</v>
      </c>
      <c r="AD270" s="10">
        <v>9.5759000000000007</v>
      </c>
      <c r="AE270" s="10">
        <v>12.3134</v>
      </c>
      <c r="AF270" s="10">
        <v>11.624000000000001</v>
      </c>
      <c r="AG270" s="10">
        <v>8.2757000000000005</v>
      </c>
      <c r="AH270" s="10">
        <v>9.8581000000000003</v>
      </c>
      <c r="AI270" s="10">
        <v>16.8262</v>
      </c>
      <c r="AJ270" s="10"/>
      <c r="AK270" s="10">
        <v>28.452000000000002</v>
      </c>
      <c r="AL270" s="10">
        <v>15.578799999999999</v>
      </c>
      <c r="AM270" s="10"/>
      <c r="AN270" s="10"/>
      <c r="AO270" s="10">
        <v>4.3788</v>
      </c>
      <c r="AP270" s="10">
        <v>6.1821000000000002</v>
      </c>
      <c r="AS270">
        <v>22.0532</v>
      </c>
      <c r="AY270">
        <v>12.216100000000001</v>
      </c>
      <c r="BA270">
        <v>23.9754</v>
      </c>
      <c r="BB270">
        <v>15.508800000000001</v>
      </c>
      <c r="BD270">
        <v>14.734299999999999</v>
      </c>
    </row>
    <row r="271" spans="1:56">
      <c r="A271" s="4">
        <v>45297</v>
      </c>
      <c r="B271">
        <v>37.714199999999998</v>
      </c>
      <c r="D271">
        <v>73.402000000000001</v>
      </c>
      <c r="J271">
        <v>42.798699999999997</v>
      </c>
      <c r="K271" s="10">
        <v>16.493400000000001</v>
      </c>
      <c r="L271">
        <v>11.6267</v>
      </c>
      <c r="N271">
        <v>8.7689000000000004</v>
      </c>
      <c r="O271">
        <v>16.820599999999999</v>
      </c>
      <c r="P271" s="10">
        <v>33.935200000000002</v>
      </c>
      <c r="Q271" s="10">
        <v>24.7273</v>
      </c>
      <c r="R271" s="10"/>
      <c r="S271" s="10">
        <v>79.268699999999995</v>
      </c>
      <c r="T271" s="10"/>
      <c r="U271" s="10"/>
      <c r="V271" s="10"/>
      <c r="W271" s="10"/>
      <c r="X271" s="10"/>
      <c r="Y271" s="10"/>
      <c r="Z271" s="10"/>
      <c r="AA271" s="10">
        <v>21.752600000000001</v>
      </c>
      <c r="AB271" s="10"/>
      <c r="AC271" s="10">
        <v>12.0581</v>
      </c>
      <c r="AD271" s="10">
        <v>9.2619000000000007</v>
      </c>
      <c r="AE271" s="10">
        <v>11.9406</v>
      </c>
      <c r="AF271" s="10">
        <v>12.0366</v>
      </c>
      <c r="AG271" s="10">
        <v>8.5645000000000007</v>
      </c>
      <c r="AH271" s="10">
        <v>9.6362000000000005</v>
      </c>
      <c r="AI271" s="10">
        <v>16.8367</v>
      </c>
      <c r="AJ271" s="10"/>
      <c r="AK271" s="10">
        <v>28.425799999999999</v>
      </c>
      <c r="AL271" s="10">
        <v>15.6008</v>
      </c>
      <c r="AM271" s="10"/>
      <c r="AN271" s="10"/>
      <c r="AO271" s="10">
        <v>4.4377000000000004</v>
      </c>
      <c r="AP271" s="10">
        <v>5.9878999999999998</v>
      </c>
      <c r="AS271">
        <v>21.821000000000002</v>
      </c>
      <c r="AY271">
        <v>11.958399999999999</v>
      </c>
      <c r="BA271">
        <v>23.505400000000002</v>
      </c>
      <c r="BB271">
        <v>15.209300000000001</v>
      </c>
      <c r="BD271">
        <v>14.687900000000001</v>
      </c>
    </row>
    <row r="272" spans="1:56">
      <c r="A272" s="17">
        <v>45304</v>
      </c>
      <c r="B272">
        <v>37.2849</v>
      </c>
      <c r="D272">
        <v>72.5625</v>
      </c>
      <c r="J272">
        <v>42.506500000000003</v>
      </c>
      <c r="K272" s="10">
        <v>16.307600000000001</v>
      </c>
      <c r="L272">
        <v>12.1953</v>
      </c>
      <c r="N272">
        <v>8.6129999999999995</v>
      </c>
      <c r="O272">
        <v>17.0489</v>
      </c>
      <c r="P272" s="10">
        <v>33.360100000000003</v>
      </c>
      <c r="Q272" s="10">
        <v>24.3748</v>
      </c>
      <c r="R272" s="10"/>
      <c r="S272" s="10">
        <v>77.963999999999999</v>
      </c>
      <c r="T272" s="10"/>
      <c r="U272" s="10"/>
      <c r="V272" s="10"/>
      <c r="W272" s="10"/>
      <c r="X272" s="10"/>
      <c r="Y272" s="10"/>
      <c r="Z272" s="10"/>
      <c r="AA272" s="10">
        <v>22.477900000000002</v>
      </c>
      <c r="AB272" s="10"/>
      <c r="AC272" s="10">
        <v>12.2089</v>
      </c>
      <c r="AD272" s="10">
        <v>9.4891000000000005</v>
      </c>
      <c r="AE272" s="10">
        <v>12.020099999999999</v>
      </c>
      <c r="AF272" s="10">
        <v>12.1046</v>
      </c>
      <c r="AG272" s="10">
        <v>8.6098999999999997</v>
      </c>
      <c r="AH272" s="10">
        <v>9.5100999999999996</v>
      </c>
      <c r="AI272" s="10">
        <v>16.5412</v>
      </c>
      <c r="AJ272" s="10"/>
      <c r="AK272" s="10">
        <v>28.2867</v>
      </c>
      <c r="AL272" s="10">
        <v>15.4337</v>
      </c>
      <c r="AM272" s="10"/>
      <c r="AN272" s="10"/>
      <c r="AO272" s="10">
        <v>4.3391999999999999</v>
      </c>
      <c r="AP272" s="10">
        <v>6.1814999999999998</v>
      </c>
      <c r="AS272">
        <v>21.646100000000001</v>
      </c>
      <c r="AY272">
        <v>12.1495</v>
      </c>
      <c r="BA272">
        <v>23.933599999999998</v>
      </c>
      <c r="BB272">
        <v>15.4825</v>
      </c>
      <c r="BD272">
        <v>14.5411</v>
      </c>
    </row>
    <row r="273" spans="1:56">
      <c r="A273" s="17">
        <v>45311</v>
      </c>
      <c r="B273">
        <v>36.36</v>
      </c>
      <c r="D273">
        <v>70.798199999999994</v>
      </c>
      <c r="J273">
        <v>41.708199999999998</v>
      </c>
      <c r="K273" s="10">
        <v>15.9649</v>
      </c>
      <c r="L273">
        <v>12.362399999999999</v>
      </c>
      <c r="N273">
        <v>8.1972000000000005</v>
      </c>
      <c r="O273">
        <v>16.811</v>
      </c>
      <c r="P273" s="10">
        <v>32.607999999999997</v>
      </c>
      <c r="Q273" s="10">
        <v>23.928699999999999</v>
      </c>
      <c r="R273" s="10"/>
      <c r="S273" s="10">
        <v>76.306600000000003</v>
      </c>
      <c r="T273" s="10"/>
      <c r="U273" s="10"/>
      <c r="V273" s="10"/>
      <c r="W273" s="10"/>
      <c r="X273" s="10"/>
      <c r="Y273" s="10"/>
      <c r="Z273" s="10"/>
      <c r="AA273" s="10">
        <v>22.7179</v>
      </c>
      <c r="AB273" s="10"/>
      <c r="AC273" s="10">
        <v>12.149900000000001</v>
      </c>
      <c r="AD273" s="10">
        <v>9.2150999999999996</v>
      </c>
      <c r="AE273" s="10">
        <v>11.8042</v>
      </c>
      <c r="AF273" s="10">
        <v>12.536199999999999</v>
      </c>
      <c r="AG273" s="10">
        <v>8.9068000000000005</v>
      </c>
      <c r="AH273" s="10">
        <v>9.5159000000000002</v>
      </c>
      <c r="AI273" s="10">
        <v>16.0503</v>
      </c>
      <c r="AJ273" s="10"/>
      <c r="AK273" s="10">
        <v>27.958600000000001</v>
      </c>
      <c r="AL273" s="10">
        <v>15.004099999999999</v>
      </c>
      <c r="AM273" s="10"/>
      <c r="AN273" s="10"/>
      <c r="AO273" s="10">
        <v>4.1189999999999998</v>
      </c>
      <c r="AP273" s="10">
        <v>6.1673999999999998</v>
      </c>
      <c r="AS273">
        <v>21.0947</v>
      </c>
      <c r="AY273">
        <v>12.2042</v>
      </c>
      <c r="BA273">
        <v>23.9419</v>
      </c>
      <c r="BB273">
        <v>15.4948</v>
      </c>
      <c r="BD273">
        <v>14.4864</v>
      </c>
    </row>
    <row r="274" spans="1:56">
      <c r="A274" s="17">
        <v>45318</v>
      </c>
      <c r="B274">
        <v>36.173699999999997</v>
      </c>
      <c r="D274">
        <v>70.434399999999997</v>
      </c>
      <c r="J274">
        <v>41.459000000000003</v>
      </c>
      <c r="K274" s="10">
        <v>15.8443</v>
      </c>
      <c r="L274">
        <v>13.021800000000001</v>
      </c>
      <c r="N274">
        <v>8.5761000000000003</v>
      </c>
      <c r="O274">
        <v>17.368600000000001</v>
      </c>
      <c r="P274" s="10">
        <v>32.110999999999997</v>
      </c>
      <c r="Q274" s="10">
        <v>23.628299999999999</v>
      </c>
      <c r="R274" s="10"/>
      <c r="S274" s="10">
        <v>75.206500000000005</v>
      </c>
      <c r="T274" s="10"/>
      <c r="U274" s="10"/>
      <c r="V274" s="10"/>
      <c r="W274" s="10"/>
      <c r="X274" s="10"/>
      <c r="Y274" s="10"/>
      <c r="Z274" s="10"/>
      <c r="AA274" s="10">
        <v>23.428799999999999</v>
      </c>
      <c r="AB274" s="10"/>
      <c r="AC274" s="10">
        <v>12.405799999999999</v>
      </c>
      <c r="AD274" s="10">
        <v>9.42</v>
      </c>
      <c r="AE274" s="10">
        <v>12.175599999999999</v>
      </c>
      <c r="AF274" s="10">
        <v>12.4925</v>
      </c>
      <c r="AG274" s="10">
        <v>8.8771000000000004</v>
      </c>
      <c r="AH274" s="10">
        <v>9.7231000000000005</v>
      </c>
      <c r="AI274" s="10">
        <v>15.9133</v>
      </c>
      <c r="AJ274" s="10"/>
      <c r="AK274" s="10">
        <v>27.901900000000001</v>
      </c>
      <c r="AL274" s="10">
        <v>14.7895</v>
      </c>
      <c r="AM274" s="10"/>
      <c r="AN274" s="10"/>
      <c r="AO274" s="10">
        <v>4.2900999999999998</v>
      </c>
      <c r="AP274" s="10">
        <v>6.3663999999999996</v>
      </c>
      <c r="AS274">
        <v>20.8399</v>
      </c>
      <c r="AY274">
        <v>12.4575</v>
      </c>
      <c r="BA274">
        <v>24.498100000000001</v>
      </c>
      <c r="BB274">
        <v>15.864000000000001</v>
      </c>
      <c r="BD274">
        <v>14.7501</v>
      </c>
    </row>
    <row r="275" spans="1:56">
      <c r="A275" s="17">
        <v>45325</v>
      </c>
      <c r="B275">
        <v>36.685699999999997</v>
      </c>
      <c r="D275">
        <v>71.413899999999998</v>
      </c>
      <c r="J275">
        <v>42.075499999999998</v>
      </c>
      <c r="K275" s="10">
        <v>16.0566</v>
      </c>
      <c r="L275">
        <v>12.823399999999999</v>
      </c>
      <c r="N275">
        <v>8.3699999999999992</v>
      </c>
      <c r="O275">
        <v>17.668399999999998</v>
      </c>
      <c r="P275" s="10">
        <v>32.354999999999997</v>
      </c>
      <c r="Q275" s="10">
        <v>23.7563</v>
      </c>
      <c r="R275" s="10"/>
      <c r="S275" s="10">
        <v>75.746499999999997</v>
      </c>
      <c r="T275" s="10"/>
      <c r="U275" s="10"/>
      <c r="V275" s="10"/>
      <c r="W275" s="10"/>
      <c r="X275" s="10"/>
      <c r="Y275" s="10"/>
      <c r="Z275" s="10"/>
      <c r="AA275" s="10">
        <v>22.895099999999999</v>
      </c>
      <c r="AB275" s="10"/>
      <c r="AC275" s="10">
        <v>12.300800000000001</v>
      </c>
      <c r="AD275" s="10">
        <v>9.4358000000000004</v>
      </c>
      <c r="AE275" s="10">
        <v>12.237500000000001</v>
      </c>
      <c r="AF275" s="10">
        <v>12.4971</v>
      </c>
      <c r="AG275" s="10">
        <v>8.8803000000000001</v>
      </c>
      <c r="AH275" s="10">
        <v>9.5114999999999998</v>
      </c>
      <c r="AI275" s="10">
        <v>15.985200000000001</v>
      </c>
      <c r="AJ275" s="10"/>
      <c r="AK275" s="10">
        <v>27.962199999999999</v>
      </c>
      <c r="AL275" s="10">
        <v>14.8385</v>
      </c>
      <c r="AM275" s="10"/>
      <c r="AN275" s="10"/>
      <c r="AO275" s="10">
        <v>3.9638</v>
      </c>
      <c r="AP275" s="10">
        <v>6.4768999999999997</v>
      </c>
      <c r="AS275">
        <v>20.984500000000001</v>
      </c>
      <c r="AY275">
        <v>12.5367</v>
      </c>
      <c r="BA275">
        <v>24.528199999999998</v>
      </c>
      <c r="BB275">
        <v>15.882899999999999</v>
      </c>
      <c r="BD275">
        <v>14.8561</v>
      </c>
    </row>
    <row r="276" spans="1:56">
      <c r="A276" s="17">
        <v>45332</v>
      </c>
      <c r="B276">
        <v>36.7622</v>
      </c>
      <c r="D276">
        <v>71.541399999999996</v>
      </c>
      <c r="J276">
        <v>42.2164</v>
      </c>
      <c r="K276" s="10">
        <v>16.118300000000001</v>
      </c>
      <c r="L276">
        <v>13.4191</v>
      </c>
      <c r="N276">
        <v>8.6761999999999997</v>
      </c>
      <c r="O276">
        <v>18.1739</v>
      </c>
      <c r="P276" s="10">
        <v>32.620100000000001</v>
      </c>
      <c r="Q276" s="10">
        <v>23.930900000000001</v>
      </c>
      <c r="R276" s="10"/>
      <c r="S276" s="10">
        <v>76.317599999999999</v>
      </c>
      <c r="T276" s="10"/>
      <c r="U276" s="10"/>
      <c r="V276" s="10"/>
      <c r="W276" s="10"/>
      <c r="X276" s="10"/>
      <c r="Y276" s="10"/>
      <c r="Z276" s="10"/>
      <c r="AA276" s="10">
        <v>23.782399999999999</v>
      </c>
      <c r="AB276" s="10"/>
      <c r="AC276" s="10">
        <v>12.595499999999999</v>
      </c>
      <c r="AD276" s="10">
        <v>9.5771999999999995</v>
      </c>
      <c r="AE276" s="10">
        <v>12.5867</v>
      </c>
      <c r="AF276" s="10">
        <v>12.9549</v>
      </c>
      <c r="AG276" s="10">
        <v>9.2073</v>
      </c>
      <c r="AH276" s="10">
        <v>9.9367999999999999</v>
      </c>
      <c r="AI276" s="10">
        <v>16.394600000000001</v>
      </c>
      <c r="AJ276" s="10"/>
      <c r="AK276" s="10">
        <v>28.116299999999999</v>
      </c>
      <c r="AL276" s="10">
        <v>15.054</v>
      </c>
      <c r="AM276" s="10"/>
      <c r="AN276" s="10"/>
      <c r="AO276" s="10">
        <v>4.1605999999999996</v>
      </c>
      <c r="AP276" s="10">
        <v>6.6489000000000003</v>
      </c>
      <c r="AS276">
        <v>21.004899999999999</v>
      </c>
      <c r="AY276">
        <v>12.8773</v>
      </c>
      <c r="BA276">
        <v>24.996200000000002</v>
      </c>
      <c r="BB276">
        <v>16.1843</v>
      </c>
      <c r="BD276">
        <v>14.921799999999999</v>
      </c>
    </row>
    <row r="277" spans="1:56">
      <c r="A277" s="17">
        <v>45339</v>
      </c>
      <c r="B277">
        <v>36.601100000000002</v>
      </c>
      <c r="D277">
        <v>71.237399999999994</v>
      </c>
      <c r="J277">
        <v>42.344700000000003</v>
      </c>
      <c r="K277" s="10">
        <v>16.131399999999999</v>
      </c>
      <c r="L277">
        <v>13.539300000000001</v>
      </c>
      <c r="N277">
        <v>8.7324999999999999</v>
      </c>
      <c r="O277">
        <v>18.372199999999999</v>
      </c>
      <c r="P277" s="10">
        <v>32.657800000000002</v>
      </c>
      <c r="Q277" s="10">
        <v>23.9587</v>
      </c>
      <c r="R277" s="10"/>
      <c r="S277" s="10">
        <v>76.378</v>
      </c>
      <c r="T277" s="10"/>
      <c r="U277" s="10"/>
      <c r="V277" s="10"/>
      <c r="W277" s="10"/>
      <c r="X277" s="10"/>
      <c r="Y277" s="10"/>
      <c r="Z277" s="10"/>
      <c r="AA277" s="10">
        <v>23.885100000000001</v>
      </c>
      <c r="AB277" s="10"/>
      <c r="AC277" s="10">
        <v>12.7209</v>
      </c>
      <c r="AD277" s="10">
        <v>9.6163000000000007</v>
      </c>
      <c r="AE277" s="10">
        <v>12.696400000000001</v>
      </c>
      <c r="AF277" s="10">
        <v>13.1287</v>
      </c>
      <c r="AG277" s="10">
        <v>9.327</v>
      </c>
      <c r="AH277" s="10">
        <v>9.9367999999999999</v>
      </c>
      <c r="AI277" s="10">
        <v>16.4815</v>
      </c>
      <c r="AJ277" s="10"/>
      <c r="AK277" s="10">
        <v>28.070399999999999</v>
      </c>
      <c r="AL277" s="10">
        <v>15.045</v>
      </c>
      <c r="AM277" s="10"/>
      <c r="AN277" s="10"/>
      <c r="AO277" s="10">
        <v>4.1844999999999999</v>
      </c>
      <c r="AP277" s="10">
        <v>6.7138</v>
      </c>
      <c r="AS277">
        <v>20.951699999999999</v>
      </c>
      <c r="AY277">
        <v>13.035299999999999</v>
      </c>
      <c r="BA277">
        <v>25.170100000000001</v>
      </c>
      <c r="BB277">
        <v>16.296800000000001</v>
      </c>
      <c r="BD277">
        <v>15.027799999999999</v>
      </c>
    </row>
    <row r="278" spans="1:56">
      <c r="A278" s="17">
        <v>45346</v>
      </c>
      <c r="B278">
        <v>37.0214</v>
      </c>
      <c r="D278">
        <v>72.055599999999998</v>
      </c>
      <c r="J278">
        <v>43.318600000000004</v>
      </c>
      <c r="K278" s="10">
        <v>16.490300000000001</v>
      </c>
      <c r="L278">
        <v>13.7035</v>
      </c>
      <c r="N278">
        <v>9.0307999999999993</v>
      </c>
      <c r="O278">
        <v>18.633400000000002</v>
      </c>
      <c r="P278" s="10">
        <v>32.9756</v>
      </c>
      <c r="Q278" s="10">
        <v>24.161200000000001</v>
      </c>
      <c r="R278" s="10"/>
      <c r="S278" s="10">
        <v>77.119100000000003</v>
      </c>
      <c r="T278" s="10"/>
      <c r="U278" s="10"/>
      <c r="V278" s="10"/>
      <c r="W278" s="10"/>
      <c r="X278" s="10"/>
      <c r="Y278" s="10"/>
      <c r="Z278" s="10"/>
      <c r="AA278" s="10">
        <v>24.066500000000001</v>
      </c>
      <c r="AB278" s="10"/>
      <c r="AC278" s="10">
        <v>12.850899999999999</v>
      </c>
      <c r="AD278" s="10">
        <v>9.5126000000000008</v>
      </c>
      <c r="AE278" s="10">
        <v>12.8712</v>
      </c>
      <c r="AF278" s="10">
        <v>13.0265</v>
      </c>
      <c r="AG278" s="10">
        <v>9.2517999999999994</v>
      </c>
      <c r="AH278" s="10">
        <v>10.347</v>
      </c>
      <c r="AI278" s="10">
        <v>16.520600000000002</v>
      </c>
      <c r="AJ278" s="10"/>
      <c r="AK278" s="10">
        <v>28.2622</v>
      </c>
      <c r="AL278" s="10">
        <v>15.307600000000001</v>
      </c>
      <c r="AM278" s="10"/>
      <c r="AN278" s="10"/>
      <c r="AO278" s="10">
        <v>4.3716999999999997</v>
      </c>
      <c r="AP278" s="10">
        <v>6.5180999999999996</v>
      </c>
      <c r="AS278">
        <v>21.0961</v>
      </c>
      <c r="AY278">
        <v>13.130100000000001</v>
      </c>
      <c r="BA278">
        <v>25.415700000000001</v>
      </c>
      <c r="BB278">
        <v>16.454699999999999</v>
      </c>
      <c r="BD278">
        <v>15.238099999999999</v>
      </c>
    </row>
    <row r="279" spans="1:56">
      <c r="A279" s="17">
        <v>45353</v>
      </c>
      <c r="B279">
        <v>36.628300000000003</v>
      </c>
      <c r="D279">
        <v>71.285899999999998</v>
      </c>
      <c r="J279">
        <v>42.8675</v>
      </c>
      <c r="K279" s="10">
        <v>16.1844</v>
      </c>
      <c r="L279">
        <v>13.7285</v>
      </c>
      <c r="N279">
        <v>8.9911999999999992</v>
      </c>
      <c r="O279">
        <v>18.6357</v>
      </c>
      <c r="P279" s="10">
        <v>32.6325</v>
      </c>
      <c r="Q279" s="10">
        <v>23.9619</v>
      </c>
      <c r="R279" s="10"/>
      <c r="S279" s="10">
        <v>76.328800000000001</v>
      </c>
      <c r="T279" s="10"/>
      <c r="U279" s="10"/>
      <c r="V279" s="10"/>
      <c r="W279" s="10"/>
      <c r="X279" s="10"/>
      <c r="Y279" s="10"/>
      <c r="Z279" s="10"/>
      <c r="AA279" s="10">
        <v>23.625399999999999</v>
      </c>
      <c r="AB279" s="10"/>
      <c r="AC279" s="10">
        <v>12.838699999999999</v>
      </c>
      <c r="AD279" s="10">
        <v>9.5642999999999994</v>
      </c>
      <c r="AE279" s="10">
        <v>12.8764</v>
      </c>
      <c r="AF279" s="10">
        <v>13.6167</v>
      </c>
      <c r="AG279" s="10">
        <v>9.6625999999999994</v>
      </c>
      <c r="AH279" s="10">
        <v>10.236499999999999</v>
      </c>
      <c r="AI279" s="10">
        <v>16.517099999999999</v>
      </c>
      <c r="AJ279" s="10"/>
      <c r="AK279" s="10">
        <v>28.1569</v>
      </c>
      <c r="AL279" s="10">
        <v>15.107799999999999</v>
      </c>
      <c r="AM279" s="10"/>
      <c r="AN279" s="10"/>
      <c r="AO279" s="10">
        <v>4.3421000000000003</v>
      </c>
      <c r="AP279" s="10">
        <v>6.6837999999999997</v>
      </c>
      <c r="AS279">
        <v>20.7743</v>
      </c>
      <c r="AY279">
        <v>13.167199999999999</v>
      </c>
      <c r="BA279">
        <v>25.427600000000002</v>
      </c>
      <c r="BB279">
        <v>16.4636</v>
      </c>
      <c r="BD279">
        <v>15.1998</v>
      </c>
    </row>
    <row r="280" spans="1:56">
      <c r="A280" s="17">
        <v>45360</v>
      </c>
      <c r="B280">
        <v>37.203499999999998</v>
      </c>
      <c r="D280">
        <v>72.406199999999998</v>
      </c>
      <c r="G280">
        <v>16.878499999999999</v>
      </c>
      <c r="J280">
        <v>43.441099999999999</v>
      </c>
      <c r="K280" s="10">
        <v>16.460899999999999</v>
      </c>
      <c r="L280">
        <v>14.0753</v>
      </c>
      <c r="N280">
        <v>9.0083000000000002</v>
      </c>
      <c r="O280">
        <v>18.823699999999999</v>
      </c>
      <c r="P280" s="10">
        <v>32.930300000000003</v>
      </c>
      <c r="Q280" s="10">
        <v>24.129000000000001</v>
      </c>
      <c r="R280" s="10"/>
      <c r="S280" s="10">
        <v>77.022000000000006</v>
      </c>
      <c r="T280" s="10"/>
      <c r="U280" s="10"/>
      <c r="V280" s="10"/>
      <c r="W280" s="10"/>
      <c r="X280" s="10"/>
      <c r="Y280" s="10"/>
      <c r="Z280" s="10"/>
      <c r="AA280" s="10">
        <v>23.930499999999999</v>
      </c>
      <c r="AB280" s="10"/>
      <c r="AC280" s="10">
        <v>13.055400000000001</v>
      </c>
      <c r="AD280" s="10">
        <v>9.5770999999999997</v>
      </c>
      <c r="AE280" s="10">
        <v>13.0175</v>
      </c>
      <c r="AF280" s="10">
        <v>13.3545</v>
      </c>
      <c r="AG280" s="10">
        <v>9.4772999999999996</v>
      </c>
      <c r="AH280" s="10">
        <v>10.2189</v>
      </c>
      <c r="AI280" s="10">
        <v>16.7606</v>
      </c>
      <c r="AJ280" s="10"/>
      <c r="AK280" s="10">
        <v>28.3552</v>
      </c>
      <c r="AL280" s="10">
        <v>15.3873</v>
      </c>
      <c r="AM280" s="10"/>
      <c r="AN280" s="10"/>
      <c r="AO280" s="10">
        <v>4.2563000000000004</v>
      </c>
      <c r="AP280" s="10">
        <v>6.7512999999999996</v>
      </c>
      <c r="AS280">
        <v>21.090599999999998</v>
      </c>
      <c r="AY280">
        <v>13.2072</v>
      </c>
      <c r="BA280">
        <v>25.741700000000002</v>
      </c>
      <c r="BB280">
        <v>16.663599999999999</v>
      </c>
      <c r="BD280">
        <v>15.4902</v>
      </c>
    </row>
    <row r="281" spans="1:56">
      <c r="A281" s="17">
        <v>45367</v>
      </c>
      <c r="B281">
        <v>37.083300000000001</v>
      </c>
      <c r="D281">
        <v>72.174400000000006</v>
      </c>
      <c r="G281">
        <v>16.8127</v>
      </c>
      <c r="J281">
        <v>43.521900000000002</v>
      </c>
      <c r="K281" s="10">
        <v>16.4998</v>
      </c>
      <c r="L281">
        <v>13.933299999999999</v>
      </c>
      <c r="N281">
        <v>9.2849000000000004</v>
      </c>
      <c r="O281">
        <v>19.2454</v>
      </c>
      <c r="P281" s="10">
        <v>33.008400000000002</v>
      </c>
      <c r="Q281" s="10">
        <v>24.1754</v>
      </c>
      <c r="R281" s="10"/>
      <c r="S281" s="10">
        <v>77.170299999999997</v>
      </c>
      <c r="T281" s="10"/>
      <c r="U281" s="10"/>
      <c r="V281" s="10"/>
      <c r="W281" s="10"/>
      <c r="X281" s="10"/>
      <c r="Y281" s="10"/>
      <c r="Z281" s="10"/>
      <c r="AA281" s="10">
        <v>23.5505</v>
      </c>
      <c r="AB281" s="10"/>
      <c r="AC281" s="10">
        <v>13.023400000000001</v>
      </c>
      <c r="AD281" s="10">
        <v>9.6923999999999992</v>
      </c>
      <c r="AE281" s="10">
        <v>13.278600000000001</v>
      </c>
      <c r="AF281" s="10">
        <v>13.624499999999999</v>
      </c>
      <c r="AG281" s="10">
        <v>9.6646000000000001</v>
      </c>
      <c r="AH281" s="10">
        <v>10.4359</v>
      </c>
      <c r="AI281" s="10">
        <v>16.8535</v>
      </c>
      <c r="AJ281" s="10"/>
      <c r="AK281" s="10">
        <v>28.354299999999999</v>
      </c>
      <c r="AL281" s="10">
        <v>15.388400000000001</v>
      </c>
      <c r="AM281" s="10"/>
      <c r="AN281" s="10"/>
      <c r="AO281" s="10">
        <v>4.4535</v>
      </c>
      <c r="AP281" s="10">
        <v>6.8272000000000004</v>
      </c>
      <c r="AS281">
        <v>21.1432</v>
      </c>
      <c r="AY281">
        <v>13.186199999999999</v>
      </c>
      <c r="BA281">
        <v>25.734000000000002</v>
      </c>
      <c r="BB281">
        <v>16.657399999999999</v>
      </c>
      <c r="BD281">
        <v>15.598100000000001</v>
      </c>
    </row>
    <row r="282" spans="1:56">
      <c r="A282" s="17">
        <v>45374</v>
      </c>
      <c r="B282">
        <v>36.949199999999998</v>
      </c>
      <c r="D282">
        <v>71.909499999999994</v>
      </c>
      <c r="G282">
        <v>16.6921</v>
      </c>
      <c r="J282">
        <v>43.339700000000001</v>
      </c>
      <c r="K282" s="10">
        <v>16.484200000000001</v>
      </c>
      <c r="L282">
        <v>14.184699999999999</v>
      </c>
      <c r="N282">
        <v>9.2263000000000002</v>
      </c>
      <c r="O282">
        <v>19.161799999999999</v>
      </c>
      <c r="P282" s="10">
        <v>32.753300000000003</v>
      </c>
      <c r="Q282" s="10">
        <v>24.017499999999998</v>
      </c>
      <c r="R282" s="10"/>
      <c r="S282" s="10">
        <v>76.584000000000003</v>
      </c>
      <c r="T282" s="10"/>
      <c r="U282" s="10"/>
      <c r="V282" s="10"/>
      <c r="W282" s="10"/>
      <c r="X282" s="10"/>
      <c r="Y282" s="10"/>
      <c r="Z282" s="10"/>
      <c r="AA282" s="10">
        <v>23.951799999999999</v>
      </c>
      <c r="AB282" s="10"/>
      <c r="AC282" s="10">
        <v>13.222799999999999</v>
      </c>
      <c r="AD282" s="10">
        <v>9.7773000000000003</v>
      </c>
      <c r="AE282" s="10">
        <v>13.1821</v>
      </c>
      <c r="AF282" s="10">
        <v>14.0372</v>
      </c>
      <c r="AG282" s="10">
        <v>9.9543999999999997</v>
      </c>
      <c r="AH282" s="10">
        <v>10.3996</v>
      </c>
      <c r="AI282" s="10">
        <v>16.730799999999999</v>
      </c>
      <c r="AJ282" s="10"/>
      <c r="AK282" s="10">
        <v>28.3127</v>
      </c>
      <c r="AL282" s="10">
        <v>15.2958</v>
      </c>
      <c r="AM282" s="10"/>
      <c r="AN282" s="10"/>
      <c r="AO282" s="10">
        <v>4.4391999999999996</v>
      </c>
      <c r="AP282" s="10">
        <v>6.8274999999999997</v>
      </c>
      <c r="AS282">
        <v>20.992899999999999</v>
      </c>
      <c r="AY282">
        <v>13.3912</v>
      </c>
      <c r="BA282">
        <v>26.173500000000001</v>
      </c>
      <c r="BB282">
        <v>16.939900000000002</v>
      </c>
      <c r="BD282">
        <v>15.730499999999999</v>
      </c>
    </row>
    <row r="283" spans="1:56">
      <c r="A283" s="17">
        <v>45381</v>
      </c>
      <c r="B283">
        <v>36.865499999999997</v>
      </c>
      <c r="D283">
        <v>71.716099999999997</v>
      </c>
      <c r="G283">
        <v>16.851400000000002</v>
      </c>
      <c r="J283">
        <v>43.231099999999998</v>
      </c>
      <c r="K283" s="10">
        <v>16.433199999999999</v>
      </c>
      <c r="L283">
        <v>13.982100000000001</v>
      </c>
      <c r="N283">
        <v>9.0827000000000009</v>
      </c>
      <c r="O283">
        <v>19.185500000000001</v>
      </c>
      <c r="P283" s="10">
        <v>32.7029</v>
      </c>
      <c r="Q283" s="10">
        <v>23.9755</v>
      </c>
      <c r="R283" s="10"/>
      <c r="S283" s="10">
        <v>76.459699999999998</v>
      </c>
      <c r="T283" s="10"/>
      <c r="U283" s="10"/>
      <c r="V283" s="10"/>
      <c r="W283" s="10"/>
      <c r="X283" s="10"/>
      <c r="Y283" s="10"/>
      <c r="Z283" s="10"/>
      <c r="AA283" s="10">
        <v>23.888999999999999</v>
      </c>
      <c r="AB283" s="10"/>
      <c r="AC283" s="10">
        <v>13.2484</v>
      </c>
      <c r="AD283" s="10">
        <v>9.8849</v>
      </c>
      <c r="AE283" s="10">
        <v>13.1806</v>
      </c>
      <c r="AF283" s="10">
        <v>14.257099999999999</v>
      </c>
      <c r="AG283" s="10">
        <v>10.1046</v>
      </c>
      <c r="AH283" s="10">
        <v>10.4215</v>
      </c>
      <c r="AI283" s="10">
        <v>16.654900000000001</v>
      </c>
      <c r="AJ283" s="10"/>
      <c r="AK283" s="10">
        <v>28.2743</v>
      </c>
      <c r="AL283" s="10">
        <v>15.2392</v>
      </c>
      <c r="AM283" s="10"/>
      <c r="AN283" s="10"/>
      <c r="AO283" s="10">
        <v>4.3384999999999998</v>
      </c>
      <c r="AP283" s="10">
        <v>6.8373999999999997</v>
      </c>
      <c r="AS283">
        <v>20.9802</v>
      </c>
      <c r="AY283">
        <v>13.362299999999999</v>
      </c>
      <c r="BA283">
        <v>26.226900000000001</v>
      </c>
      <c r="BB283">
        <v>16.973600000000001</v>
      </c>
      <c r="BD283">
        <v>15.8279</v>
      </c>
    </row>
    <row r="284" spans="1:56">
      <c r="A284" s="17">
        <v>45388</v>
      </c>
      <c r="B284">
        <v>36.933300000000003</v>
      </c>
      <c r="D284">
        <v>71.841300000000004</v>
      </c>
      <c r="G284">
        <v>16.467199999999998</v>
      </c>
      <c r="J284">
        <v>43.137500000000003</v>
      </c>
      <c r="K284" s="10">
        <v>16.4497</v>
      </c>
      <c r="L284">
        <v>14.060600000000001</v>
      </c>
      <c r="N284">
        <v>9.1293000000000006</v>
      </c>
      <c r="O284">
        <v>19.1007</v>
      </c>
      <c r="P284" s="10">
        <v>33.046500000000002</v>
      </c>
      <c r="Q284" s="10">
        <v>24.1936</v>
      </c>
      <c r="R284" s="10"/>
      <c r="S284" s="10">
        <v>77.187299999999993</v>
      </c>
      <c r="T284" s="10"/>
      <c r="U284" s="10"/>
      <c r="V284" s="10"/>
      <c r="W284" s="10"/>
      <c r="X284" s="10"/>
      <c r="Y284" s="10"/>
      <c r="Z284" s="10"/>
      <c r="AA284" s="10">
        <v>23.389900000000001</v>
      </c>
      <c r="AB284" s="10"/>
      <c r="AC284" s="10">
        <v>13.032400000000001</v>
      </c>
      <c r="AD284" s="10">
        <v>9.6501000000000001</v>
      </c>
      <c r="AE284" s="10">
        <v>13.053599999999999</v>
      </c>
      <c r="AF284" s="10">
        <v>13.7296</v>
      </c>
      <c r="AG284" s="10">
        <v>9.7420000000000009</v>
      </c>
      <c r="AH284" s="10">
        <v>10.4968</v>
      </c>
      <c r="AI284" s="10">
        <v>16.619399999999999</v>
      </c>
      <c r="AJ284" s="10"/>
      <c r="AK284" s="10">
        <v>28.252300000000002</v>
      </c>
      <c r="AL284" s="10">
        <v>15.23</v>
      </c>
      <c r="AM284" s="10"/>
      <c r="AN284" s="10"/>
      <c r="AO284" s="10">
        <v>4.3677000000000001</v>
      </c>
      <c r="AP284" s="10">
        <v>6.7638999999999996</v>
      </c>
      <c r="AS284">
        <v>21.069900000000001</v>
      </c>
      <c r="AY284">
        <v>13.0969</v>
      </c>
      <c r="BA284">
        <v>25.732500000000002</v>
      </c>
      <c r="BB284">
        <v>16.655000000000001</v>
      </c>
      <c r="BD284">
        <v>15.8123</v>
      </c>
    </row>
    <row r="285" spans="1:56">
      <c r="A285" s="17">
        <v>45395</v>
      </c>
      <c r="B285">
        <v>37.346200000000003</v>
      </c>
      <c r="D285">
        <v>72.615600000000001</v>
      </c>
      <c r="G285">
        <v>15.9876</v>
      </c>
      <c r="J285">
        <v>43.664099999999998</v>
      </c>
      <c r="K285" s="10">
        <v>16.617899999999999</v>
      </c>
      <c r="L285">
        <v>13.763999999999999</v>
      </c>
      <c r="N285">
        <v>9.2113999999999994</v>
      </c>
      <c r="O285">
        <v>19.016999999999999</v>
      </c>
      <c r="P285" s="10">
        <v>33.542099999999998</v>
      </c>
      <c r="Q285" s="10">
        <v>24.491900000000001</v>
      </c>
      <c r="R285" s="10"/>
      <c r="S285" s="10">
        <v>78.265299999999996</v>
      </c>
      <c r="T285" s="10"/>
      <c r="U285" s="10"/>
      <c r="V285" s="10"/>
      <c r="W285" s="10"/>
      <c r="X285" s="10"/>
      <c r="Y285" s="10"/>
      <c r="Z285" s="10"/>
      <c r="AA285" s="10">
        <v>23.5166</v>
      </c>
      <c r="AB285" s="10"/>
      <c r="AC285" s="10">
        <v>13.0091</v>
      </c>
      <c r="AD285" s="10">
        <v>9.76</v>
      </c>
      <c r="AE285" s="10">
        <v>13.014200000000001</v>
      </c>
      <c r="AF285" s="10">
        <v>13.7659</v>
      </c>
      <c r="AG285" s="10">
        <v>9.7684999999999995</v>
      </c>
      <c r="AH285" s="10">
        <v>10.3416</v>
      </c>
      <c r="AI285" s="10">
        <v>16.760000000000002</v>
      </c>
      <c r="AJ285" s="10"/>
      <c r="AK285" s="10">
        <v>28.281500000000001</v>
      </c>
      <c r="AL285" s="10">
        <v>15.397</v>
      </c>
      <c r="AM285" s="10"/>
      <c r="AN285" s="10"/>
      <c r="AO285" s="10">
        <v>4.4009</v>
      </c>
      <c r="AP285" s="10">
        <v>6.8075000000000001</v>
      </c>
      <c r="AS285">
        <v>21.173400000000001</v>
      </c>
      <c r="AY285">
        <v>13.1187</v>
      </c>
      <c r="BA285">
        <v>25.7211</v>
      </c>
      <c r="BB285">
        <v>16.650099999999998</v>
      </c>
      <c r="BD285">
        <v>15.662100000000001</v>
      </c>
    </row>
    <row r="286" spans="1:56">
      <c r="A286" s="17">
        <v>45402</v>
      </c>
      <c r="B286">
        <v>35.885199999999998</v>
      </c>
      <c r="D286">
        <v>69.838999999999999</v>
      </c>
      <c r="G286">
        <v>15.9694</v>
      </c>
      <c r="J286">
        <v>41.809899999999999</v>
      </c>
      <c r="K286" s="10">
        <v>15.923299999999999</v>
      </c>
      <c r="L286">
        <v>13.0886</v>
      </c>
      <c r="N286">
        <v>8.7345000000000006</v>
      </c>
      <c r="O286">
        <v>18.1935</v>
      </c>
      <c r="P286" s="10">
        <v>32.285499999999999</v>
      </c>
      <c r="Q286" s="10">
        <v>23.725200000000001</v>
      </c>
      <c r="R286" s="10"/>
      <c r="S286" s="10">
        <v>75.426000000000002</v>
      </c>
      <c r="T286" s="10"/>
      <c r="U286" s="10"/>
      <c r="V286" s="10"/>
      <c r="W286" s="10"/>
      <c r="X286" s="10"/>
      <c r="Y286" s="10"/>
      <c r="Z286" s="10"/>
      <c r="AA286" s="10">
        <v>22.699000000000002</v>
      </c>
      <c r="AB286" s="10"/>
      <c r="AC286" s="10">
        <v>12.6096</v>
      </c>
      <c r="AD286" s="10">
        <v>9.2081</v>
      </c>
      <c r="AE286" s="10">
        <v>12.672800000000001</v>
      </c>
      <c r="AF286" s="10">
        <v>12.795</v>
      </c>
      <c r="AG286" s="10">
        <v>9.0936000000000003</v>
      </c>
      <c r="AH286" s="10">
        <v>10.497400000000001</v>
      </c>
      <c r="AI286" s="10">
        <v>15.937799999999999</v>
      </c>
      <c r="AJ286" s="10"/>
      <c r="AK286" s="10">
        <v>27.776599999999998</v>
      </c>
      <c r="AL286" s="10">
        <v>14.7315</v>
      </c>
      <c r="AM286" s="10"/>
      <c r="AN286" s="10"/>
      <c r="AO286" s="10">
        <v>4.2992999999999997</v>
      </c>
      <c r="AP286" s="10">
        <v>6.5153999999999996</v>
      </c>
      <c r="AS286">
        <v>20.38</v>
      </c>
      <c r="AY286">
        <v>12.7141</v>
      </c>
      <c r="BA286">
        <v>24.991399999999999</v>
      </c>
      <c r="BB286">
        <v>16.176600000000001</v>
      </c>
      <c r="BD286">
        <v>15.4422</v>
      </c>
    </row>
    <row r="287" spans="1:56">
      <c r="A287" s="17">
        <v>45409</v>
      </c>
      <c r="B287">
        <v>36.769399999999997</v>
      </c>
      <c r="D287">
        <v>71.519900000000007</v>
      </c>
      <c r="G287">
        <v>16.0654</v>
      </c>
      <c r="J287">
        <v>42.944699999999997</v>
      </c>
      <c r="K287" s="10">
        <v>16.270600000000002</v>
      </c>
      <c r="L287">
        <v>12.825200000000001</v>
      </c>
      <c r="N287">
        <v>9.0821000000000005</v>
      </c>
      <c r="O287">
        <v>18.420500000000001</v>
      </c>
      <c r="P287" s="10">
        <v>32.816099999999999</v>
      </c>
      <c r="Q287" s="10">
        <v>24.036999999999999</v>
      </c>
      <c r="R287" s="10"/>
      <c r="S287" s="10">
        <v>76.638199999999998</v>
      </c>
      <c r="T287" s="10"/>
      <c r="U287" s="10"/>
      <c r="V287" s="10"/>
      <c r="W287" s="10"/>
      <c r="X287" s="10"/>
      <c r="Y287" s="10"/>
      <c r="Z287" s="10"/>
      <c r="AA287" s="10">
        <v>22.7394</v>
      </c>
      <c r="AB287" s="10"/>
      <c r="AC287" s="10">
        <v>12.7569</v>
      </c>
      <c r="AD287" s="10">
        <v>9.2248000000000001</v>
      </c>
      <c r="AE287" s="10">
        <v>12.586499999999999</v>
      </c>
      <c r="AF287" s="10">
        <v>13.4756</v>
      </c>
      <c r="AG287" s="10">
        <v>9.5721000000000007</v>
      </c>
      <c r="AH287" s="10">
        <v>10.713200000000001</v>
      </c>
      <c r="AI287" s="10">
        <v>16.378499999999999</v>
      </c>
      <c r="AJ287" s="10"/>
      <c r="AK287" s="10">
        <v>28.047999999999998</v>
      </c>
      <c r="AL287" s="10">
        <v>15.1174</v>
      </c>
      <c r="AM287" s="10"/>
      <c r="AN287" s="10"/>
      <c r="AO287" s="10">
        <v>4.4980000000000002</v>
      </c>
      <c r="AP287" s="10">
        <v>6.5182000000000002</v>
      </c>
      <c r="AS287">
        <v>20.7395</v>
      </c>
      <c r="AY287">
        <v>12.7211</v>
      </c>
      <c r="BA287">
        <v>25.151900000000001</v>
      </c>
      <c r="BB287">
        <v>16.282699999999998</v>
      </c>
      <c r="BD287">
        <v>15.5983</v>
      </c>
    </row>
    <row r="288" spans="1:56">
      <c r="A288" s="17">
        <v>45416</v>
      </c>
      <c r="B288">
        <v>37.207099999999997</v>
      </c>
      <c r="D288">
        <v>72.378900000000002</v>
      </c>
      <c r="G288">
        <v>16.255700000000001</v>
      </c>
      <c r="J288">
        <v>43.4848</v>
      </c>
      <c r="K288" s="10">
        <v>16.4117</v>
      </c>
      <c r="L288">
        <v>12.940899999999999</v>
      </c>
      <c r="N288">
        <v>9.4467999999999996</v>
      </c>
      <c r="O288">
        <v>18.197900000000001</v>
      </c>
      <c r="P288" s="10">
        <v>33.1875</v>
      </c>
      <c r="Q288" s="10">
        <v>24.246200000000002</v>
      </c>
      <c r="R288" s="10"/>
      <c r="S288" s="10">
        <v>77.475999999999999</v>
      </c>
      <c r="T288" s="10"/>
      <c r="U288" s="10"/>
      <c r="V288" s="10"/>
      <c r="W288" s="10"/>
      <c r="X288" s="10"/>
      <c r="Y288" s="10"/>
      <c r="Z288" s="10"/>
      <c r="AA288" s="10">
        <v>22.8764</v>
      </c>
      <c r="AB288" s="10"/>
      <c r="AC288" s="10">
        <v>12.8544</v>
      </c>
      <c r="AD288" s="10">
        <v>9.1667000000000005</v>
      </c>
      <c r="AE288" s="10">
        <v>12.2493</v>
      </c>
      <c r="AF288" s="10">
        <v>13.6351</v>
      </c>
      <c r="AG288" s="10">
        <v>9.6823999999999995</v>
      </c>
      <c r="AH288" s="10">
        <v>10.8027</v>
      </c>
      <c r="AI288" s="10">
        <v>16.316400000000002</v>
      </c>
      <c r="AJ288" s="10"/>
      <c r="AK288" s="10">
        <v>28.171199999999999</v>
      </c>
      <c r="AL288" s="10">
        <v>15.245699999999999</v>
      </c>
      <c r="AM288" s="10"/>
      <c r="AN288" s="10"/>
      <c r="AO288" s="10">
        <v>4.7481999999999998</v>
      </c>
      <c r="AP288" s="10">
        <v>6.4375</v>
      </c>
      <c r="AS288">
        <v>20.7821</v>
      </c>
      <c r="AY288">
        <v>12.7121</v>
      </c>
      <c r="BA288">
        <v>25.224699999999999</v>
      </c>
      <c r="BB288">
        <v>16.330200000000001</v>
      </c>
      <c r="BD288">
        <v>15.661099999999999</v>
      </c>
    </row>
    <row r="289" spans="1:56">
      <c r="A289" s="17">
        <v>45423</v>
      </c>
      <c r="B289">
        <v>37.384799999999998</v>
      </c>
      <c r="D289">
        <v>72.711799999999997</v>
      </c>
      <c r="G289">
        <v>16.499199999999998</v>
      </c>
      <c r="J289">
        <v>43.794899999999998</v>
      </c>
      <c r="K289" s="10">
        <v>16.479199999999999</v>
      </c>
      <c r="L289">
        <v>13.4816</v>
      </c>
      <c r="N289">
        <v>9.7196999999999996</v>
      </c>
      <c r="O289">
        <v>18.8688</v>
      </c>
      <c r="P289" s="10">
        <v>33.234200000000001</v>
      </c>
      <c r="Q289" s="10">
        <v>24.2775</v>
      </c>
      <c r="R289" s="10"/>
      <c r="S289" s="10">
        <v>77.567099999999996</v>
      </c>
      <c r="T289" s="10"/>
      <c r="U289" s="10"/>
      <c r="V289" s="10"/>
      <c r="W289" s="10"/>
      <c r="X289" s="10"/>
      <c r="Y289" s="10"/>
      <c r="Z289" s="10"/>
      <c r="AA289" s="10">
        <v>23.6174</v>
      </c>
      <c r="AB289" s="10"/>
      <c r="AC289" s="10">
        <v>13.1861</v>
      </c>
      <c r="AD289" s="10">
        <v>9.4155999999999995</v>
      </c>
      <c r="AE289" s="10">
        <v>12.7011</v>
      </c>
      <c r="AF289" s="10">
        <v>13.7805</v>
      </c>
      <c r="AG289" s="10">
        <v>9.7827999999999999</v>
      </c>
      <c r="AH289" s="10">
        <v>10.9063</v>
      </c>
      <c r="AI289" s="10">
        <v>16.4236</v>
      </c>
      <c r="AJ289" s="10"/>
      <c r="AK289" s="10">
        <v>28.2637</v>
      </c>
      <c r="AL289" s="10">
        <v>15.295400000000001</v>
      </c>
      <c r="AM289" s="10"/>
      <c r="AN289" s="10"/>
      <c r="AO289" s="10">
        <v>4.8258000000000001</v>
      </c>
      <c r="AP289" s="10">
        <v>6.6515000000000004</v>
      </c>
      <c r="AS289">
        <v>20.783799999999999</v>
      </c>
      <c r="AY289">
        <v>13.1074</v>
      </c>
      <c r="BA289">
        <v>25.966899999999999</v>
      </c>
      <c r="BB289">
        <v>16.811299999999999</v>
      </c>
      <c r="BD289">
        <v>16.127400000000002</v>
      </c>
    </row>
    <row r="290" spans="1:56">
      <c r="A290" s="17">
        <v>45430</v>
      </c>
      <c r="B290">
        <v>37.598100000000002</v>
      </c>
      <c r="D290">
        <v>73.141000000000005</v>
      </c>
      <c r="G290">
        <v>16.591000000000001</v>
      </c>
      <c r="J290">
        <v>44.004899999999999</v>
      </c>
      <c r="K290" s="10">
        <v>16.6096</v>
      </c>
      <c r="L290">
        <v>13.955399999999999</v>
      </c>
      <c r="N290">
        <v>9.9810999999999996</v>
      </c>
      <c r="O290">
        <v>19.1389</v>
      </c>
      <c r="P290" s="10">
        <v>33.247500000000002</v>
      </c>
      <c r="Q290" s="10">
        <v>24.290299999999998</v>
      </c>
      <c r="R290" s="10"/>
      <c r="S290" s="10">
        <v>77.6417</v>
      </c>
      <c r="T290" s="10"/>
      <c r="U290" s="10"/>
      <c r="V290" s="10"/>
      <c r="W290" s="10"/>
      <c r="X290" s="10"/>
      <c r="Y290" s="10"/>
      <c r="Z290" s="10"/>
      <c r="AA290" s="10">
        <v>24.148399999999999</v>
      </c>
      <c r="AB290" s="10"/>
      <c r="AC290" s="10">
        <v>13.376899999999999</v>
      </c>
      <c r="AD290" s="10">
        <v>9.3316999999999997</v>
      </c>
      <c r="AE290" s="10">
        <v>12.9223</v>
      </c>
      <c r="AF290" s="10">
        <v>13.924099999999999</v>
      </c>
      <c r="AG290" s="10">
        <v>9.8834999999999997</v>
      </c>
      <c r="AH290" s="10">
        <v>11.0137</v>
      </c>
      <c r="AI290" s="10">
        <v>16.6144</v>
      </c>
      <c r="AJ290" s="10"/>
      <c r="AK290" s="10">
        <v>28.384699999999999</v>
      </c>
      <c r="AL290" s="10">
        <v>15.401300000000001</v>
      </c>
      <c r="AM290" s="10"/>
      <c r="AN290" s="10"/>
      <c r="AO290" s="10">
        <v>4.9612999999999996</v>
      </c>
      <c r="AP290" s="10">
        <v>6.8221999999999996</v>
      </c>
      <c r="AS290">
        <v>21.019500000000001</v>
      </c>
      <c r="AY290">
        <v>13.2936</v>
      </c>
      <c r="BA290">
        <v>26.331800000000001</v>
      </c>
      <c r="BB290">
        <v>17.047000000000001</v>
      </c>
      <c r="BD290">
        <v>16.336500000000001</v>
      </c>
    </row>
    <row r="291" spans="1:56">
      <c r="A291" s="17">
        <v>45437</v>
      </c>
      <c r="B291">
        <v>37.051499999999997</v>
      </c>
      <c r="D291">
        <v>72.111400000000003</v>
      </c>
      <c r="G291">
        <v>16.565999999999999</v>
      </c>
      <c r="J291">
        <v>43.539499999999997</v>
      </c>
      <c r="K291" s="10">
        <v>16.429400000000001</v>
      </c>
      <c r="L291" s="10">
        <v>14.1707</v>
      </c>
      <c r="M291" s="10"/>
      <c r="N291" s="10">
        <v>9.7782999999999998</v>
      </c>
      <c r="O291" s="10">
        <v>19.246500000000001</v>
      </c>
      <c r="P291" s="10">
        <v>32.885899999999999</v>
      </c>
      <c r="Q291" s="10">
        <v>24.063700000000001</v>
      </c>
      <c r="R291" s="10"/>
      <c r="S291" s="10">
        <v>76.801599999999993</v>
      </c>
      <c r="T291" s="10"/>
      <c r="U291" s="10"/>
      <c r="V291" s="10"/>
      <c r="W291" s="10"/>
      <c r="X291" s="10"/>
      <c r="Y291" s="10"/>
      <c r="Z291" s="10"/>
      <c r="AA291" s="10">
        <v>24.242599999999999</v>
      </c>
      <c r="AB291" s="10"/>
      <c r="AC291" s="10">
        <v>13.270799999999999</v>
      </c>
      <c r="AD291" s="10">
        <v>9.4383999999999997</v>
      </c>
      <c r="AE291" s="10">
        <v>12.948600000000001</v>
      </c>
      <c r="AF291" s="10">
        <v>13.883599999999999</v>
      </c>
      <c r="AG291" s="10">
        <v>9.8514999999999997</v>
      </c>
      <c r="AH291" s="10">
        <v>10.7324</v>
      </c>
      <c r="AI291" s="10">
        <v>16.6008</v>
      </c>
      <c r="AJ291" s="10"/>
      <c r="AK291" s="10">
        <v>28.1707</v>
      </c>
      <c r="AL291" s="10">
        <v>15.1822</v>
      </c>
      <c r="AM291" s="10"/>
      <c r="AN291" s="10"/>
      <c r="AO291" s="10">
        <v>4.8578000000000001</v>
      </c>
      <c r="AP291" s="10">
        <v>6.8269000000000002</v>
      </c>
      <c r="AS291">
        <v>20.7928</v>
      </c>
      <c r="AY291">
        <v>13.2372</v>
      </c>
      <c r="BA291">
        <v>26.204899999999999</v>
      </c>
      <c r="BB291">
        <v>16.967700000000001</v>
      </c>
      <c r="BD291">
        <v>16.317299999999999</v>
      </c>
    </row>
    <row r="292" spans="1:56">
      <c r="A292" s="17">
        <v>45444</v>
      </c>
      <c r="B292">
        <v>36.414900000000003</v>
      </c>
      <c r="D292">
        <v>70.872900000000001</v>
      </c>
      <c r="G292">
        <v>16.015899999999998</v>
      </c>
      <c r="J292">
        <v>43.302</v>
      </c>
      <c r="K292" s="10">
        <v>16.2789</v>
      </c>
      <c r="L292" s="10">
        <v>14.066599999999999</v>
      </c>
      <c r="M292" s="10"/>
      <c r="N292" s="10">
        <v>9.5122</v>
      </c>
      <c r="O292" s="10">
        <v>18.921900000000001</v>
      </c>
      <c r="P292" s="10">
        <v>32.250100000000003</v>
      </c>
      <c r="Q292" s="10">
        <v>23.6815</v>
      </c>
      <c r="R292" s="10"/>
      <c r="S292" s="10">
        <v>75.3292</v>
      </c>
      <c r="T292" s="10"/>
      <c r="U292" s="10"/>
      <c r="V292" s="10"/>
      <c r="W292" s="10"/>
      <c r="X292" s="10"/>
      <c r="Y292" s="10"/>
      <c r="Z292" s="10"/>
      <c r="AA292" s="10">
        <v>24.137699999999999</v>
      </c>
      <c r="AB292" s="10"/>
      <c r="AC292" s="10">
        <v>13.192</v>
      </c>
      <c r="AD292" s="10">
        <v>9.1511999999999993</v>
      </c>
      <c r="AE292" s="10">
        <v>12.767200000000001</v>
      </c>
      <c r="AF292" s="10">
        <v>13.9664</v>
      </c>
      <c r="AG292" s="10">
        <v>9.9086999999999996</v>
      </c>
      <c r="AH292" s="10">
        <v>10.636900000000001</v>
      </c>
      <c r="AI292" s="10">
        <v>16.410799999999998</v>
      </c>
      <c r="AJ292" s="10"/>
      <c r="AK292" s="10">
        <v>28.013400000000001</v>
      </c>
      <c r="AL292" s="10">
        <v>14.907</v>
      </c>
      <c r="AM292" s="10"/>
      <c r="AN292" s="10"/>
      <c r="AO292" s="10">
        <v>4.7028999999999996</v>
      </c>
      <c r="AP292" s="10">
        <v>6.7462999999999997</v>
      </c>
      <c r="AS292">
        <v>20.394400000000001</v>
      </c>
      <c r="AY292">
        <v>13.000999999999999</v>
      </c>
      <c r="BA292">
        <v>26.0229</v>
      </c>
      <c r="BB292">
        <v>16.854500000000002</v>
      </c>
      <c r="BD292">
        <v>16.180900000000001</v>
      </c>
    </row>
    <row r="293" spans="1:56">
      <c r="A293" s="17">
        <v>45451</v>
      </c>
      <c r="B293">
        <v>36.249899999999997</v>
      </c>
      <c r="D293">
        <v>70.560900000000004</v>
      </c>
      <c r="G293">
        <v>16.513400000000001</v>
      </c>
      <c r="J293">
        <v>42.905999999999999</v>
      </c>
      <c r="K293" s="10">
        <v>16.0989</v>
      </c>
      <c r="L293" s="10">
        <v>14.251200000000001</v>
      </c>
      <c r="M293" s="10"/>
      <c r="N293" s="10">
        <v>9.7065999999999999</v>
      </c>
      <c r="O293" s="10">
        <v>19.5396</v>
      </c>
      <c r="P293" s="10">
        <v>31.9422</v>
      </c>
      <c r="Q293" s="10">
        <v>23.51</v>
      </c>
      <c r="R293" s="10"/>
      <c r="S293" s="10">
        <v>74.751400000000004</v>
      </c>
      <c r="T293" s="10"/>
      <c r="U293" s="10"/>
      <c r="V293" s="10"/>
      <c r="W293" s="10"/>
      <c r="X293" s="10"/>
      <c r="Y293" s="10"/>
      <c r="Z293" s="10"/>
      <c r="AA293" s="10">
        <v>24.3325</v>
      </c>
      <c r="AB293" s="10"/>
      <c r="AC293" s="10">
        <v>13.4404</v>
      </c>
      <c r="AD293" s="10">
        <v>9.2928999999999995</v>
      </c>
      <c r="AE293" s="10">
        <v>13.1286</v>
      </c>
      <c r="AF293" s="10">
        <v>14.143800000000001</v>
      </c>
      <c r="AG293" s="10">
        <v>10.0327</v>
      </c>
      <c r="AH293" s="10">
        <v>10.6427</v>
      </c>
      <c r="AI293" s="10">
        <v>16.193200000000001</v>
      </c>
      <c r="AJ293" s="10"/>
      <c r="AK293" s="10">
        <v>27.930800000000001</v>
      </c>
      <c r="AL293" s="10">
        <v>14.842700000000001</v>
      </c>
      <c r="AM293" s="10"/>
      <c r="AN293" s="10"/>
      <c r="AO293" s="10">
        <v>4.7859999999999996</v>
      </c>
      <c r="AP293" s="10">
        <v>6.7900999999999998</v>
      </c>
      <c r="AS293">
        <v>20.342199999999998</v>
      </c>
      <c r="AY293">
        <v>13.3612</v>
      </c>
      <c r="BA293">
        <v>26.585899999999999</v>
      </c>
      <c r="BB293">
        <v>17.2163</v>
      </c>
      <c r="BD293">
        <v>16.459900000000001</v>
      </c>
    </row>
    <row r="294" spans="1:56">
      <c r="A294" s="17">
        <v>45458</v>
      </c>
      <c r="B294">
        <v>35.399299999999997</v>
      </c>
      <c r="D294">
        <v>68.958699999999993</v>
      </c>
      <c r="G294">
        <v>16.372399999999999</v>
      </c>
      <c r="J294">
        <v>41.578699999999998</v>
      </c>
      <c r="K294" s="10">
        <v>15.650399999999999</v>
      </c>
      <c r="L294" s="10">
        <v>14.7209</v>
      </c>
      <c r="M294" s="10"/>
      <c r="N294" s="10">
        <v>9.5884999999999998</v>
      </c>
      <c r="O294" s="10">
        <v>19.625800000000002</v>
      </c>
      <c r="P294" s="10">
        <v>30.9893</v>
      </c>
      <c r="Q294" s="10">
        <v>22.921399999999998</v>
      </c>
      <c r="R294" s="10"/>
      <c r="S294" s="10">
        <v>72.629099999999994</v>
      </c>
      <c r="T294" s="10"/>
      <c r="U294" s="10"/>
      <c r="V294" s="10"/>
      <c r="W294" s="10"/>
      <c r="X294" s="10"/>
      <c r="Y294" s="10"/>
      <c r="Z294" s="10"/>
      <c r="AA294" s="10">
        <v>25.050899999999999</v>
      </c>
      <c r="AB294" s="10"/>
      <c r="AC294" s="10">
        <v>13.4519</v>
      </c>
      <c r="AD294" s="10">
        <v>9.2765000000000004</v>
      </c>
      <c r="AE294" s="10">
        <v>13.2044</v>
      </c>
      <c r="AF294" s="10">
        <v>14.3119</v>
      </c>
      <c r="AG294" s="10">
        <v>10.150399999999999</v>
      </c>
      <c r="AH294" s="10">
        <v>10.5283</v>
      </c>
      <c r="AI294" s="10">
        <v>15.539</v>
      </c>
      <c r="AJ294" s="10"/>
      <c r="AK294" s="10">
        <v>27.692799999999998</v>
      </c>
      <c r="AL294" s="10">
        <v>14.5274</v>
      </c>
      <c r="AM294" s="10"/>
      <c r="AN294" s="10"/>
      <c r="AO294" s="10">
        <v>4.6862000000000004</v>
      </c>
      <c r="AP294" s="10">
        <v>6.9478999999999997</v>
      </c>
      <c r="AS294">
        <v>20.056000000000001</v>
      </c>
      <c r="AY294">
        <v>13.1197</v>
      </c>
      <c r="BA294">
        <v>26.306799999999999</v>
      </c>
      <c r="BB294">
        <v>17.462399999999999</v>
      </c>
      <c r="BD294">
        <v>17.462399999999999</v>
      </c>
    </row>
    <row r="295" spans="1:56">
      <c r="A295" s="17">
        <v>45465</v>
      </c>
      <c r="B295">
        <v>34.994700000000002</v>
      </c>
      <c r="D295">
        <v>68.148200000000003</v>
      </c>
      <c r="G295">
        <v>16.4069</v>
      </c>
      <c r="J295">
        <v>41.5535</v>
      </c>
      <c r="K295" s="10">
        <v>15.6821</v>
      </c>
      <c r="L295" s="10">
        <v>14.9109</v>
      </c>
      <c r="M295" s="10"/>
      <c r="N295" s="10">
        <v>9.6439000000000004</v>
      </c>
      <c r="O295" s="10">
        <v>19.105799999999999</v>
      </c>
      <c r="P295" s="10">
        <v>30.949400000000001</v>
      </c>
      <c r="Q295" s="10">
        <v>22.921700000000001</v>
      </c>
      <c r="R295" s="10"/>
      <c r="S295" s="10">
        <v>72.492999999999995</v>
      </c>
      <c r="T295" s="10"/>
      <c r="U295" s="10"/>
      <c r="V295" s="10"/>
      <c r="W295" s="10"/>
      <c r="X295" s="10"/>
      <c r="Y295" s="10"/>
      <c r="Z295" s="10"/>
      <c r="AA295" s="10">
        <v>25.270199999999999</v>
      </c>
      <c r="AB295" s="10"/>
      <c r="AC295" s="10">
        <v>13.5337</v>
      </c>
      <c r="AD295" s="10">
        <v>9.3351000000000006</v>
      </c>
      <c r="AE295" s="10">
        <v>12.868399999999999</v>
      </c>
      <c r="AF295" s="10">
        <v>14.289899999999999</v>
      </c>
      <c r="AG295" s="10">
        <v>10.137700000000001</v>
      </c>
      <c r="AH295" s="10">
        <v>10.3782</v>
      </c>
      <c r="AI295" s="10">
        <v>15.6424</v>
      </c>
      <c r="AJ295" s="10"/>
      <c r="AK295" s="10">
        <v>27.666699999999999</v>
      </c>
      <c r="AL295" s="10">
        <v>14.4392</v>
      </c>
      <c r="AM295" s="10"/>
      <c r="AN295" s="10"/>
      <c r="AO295" s="10">
        <v>4.6824000000000003</v>
      </c>
      <c r="AP295" s="10">
        <v>7.0090000000000003</v>
      </c>
      <c r="AS295">
        <v>20.133700000000001</v>
      </c>
      <c r="AY295">
        <v>13.3446</v>
      </c>
      <c r="BA295">
        <v>26.498899999999999</v>
      </c>
      <c r="BB295">
        <v>17.587499999999999</v>
      </c>
      <c r="BD295">
        <v>16.203199999999999</v>
      </c>
    </row>
    <row r="296" spans="1:56">
      <c r="A296" s="17">
        <v>45472</v>
      </c>
      <c r="B296">
        <v>35.000700000000002</v>
      </c>
      <c r="D296">
        <v>68.183999999999997</v>
      </c>
      <c r="G296">
        <v>16.4406</v>
      </c>
      <c r="J296">
        <v>41.316499999999998</v>
      </c>
      <c r="K296" s="10">
        <v>15.558</v>
      </c>
      <c r="L296" s="10">
        <v>14.7492</v>
      </c>
      <c r="M296" s="10"/>
      <c r="N296" s="10">
        <v>9.3780999999999999</v>
      </c>
      <c r="O296" s="10">
        <v>19.084299999999999</v>
      </c>
      <c r="P296" s="10">
        <v>30.756900000000002</v>
      </c>
      <c r="Q296" s="10">
        <v>22.7973</v>
      </c>
      <c r="R296" s="10"/>
      <c r="S296" s="10">
        <v>72.109200000000001</v>
      </c>
      <c r="T296" s="10"/>
      <c r="U296" s="10"/>
      <c r="V296" s="10"/>
      <c r="W296" s="10"/>
      <c r="X296" s="10"/>
      <c r="Y296" s="10"/>
      <c r="Z296" s="10"/>
      <c r="AA296" s="10">
        <v>25.306100000000001</v>
      </c>
      <c r="AB296" s="10"/>
      <c r="AC296" s="10">
        <v>13.532</v>
      </c>
      <c r="AD296" s="10">
        <v>9.5508000000000006</v>
      </c>
      <c r="AE296" s="10">
        <v>12.846299999999999</v>
      </c>
      <c r="AF296" s="10">
        <v>13.950799999999999</v>
      </c>
      <c r="AG296" s="10">
        <v>9.8999000000000006</v>
      </c>
      <c r="AH296" s="10">
        <v>10.3689</v>
      </c>
      <c r="AI296" s="10">
        <v>15.429399999999999</v>
      </c>
      <c r="AJ296" s="10"/>
      <c r="AK296" s="10">
        <v>27.623100000000001</v>
      </c>
      <c r="AL296" s="10">
        <v>14.421099999999999</v>
      </c>
      <c r="AM296" s="10"/>
      <c r="AN296" s="10"/>
      <c r="AO296" s="10">
        <v>4.5163000000000002</v>
      </c>
      <c r="AP296" s="10">
        <v>6.9734999999999996</v>
      </c>
      <c r="AS296">
        <v>20.129799999999999</v>
      </c>
      <c r="AY296">
        <v>13.4345</v>
      </c>
      <c r="BA296">
        <v>26.548300000000001</v>
      </c>
      <c r="BB296">
        <v>17.622</v>
      </c>
      <c r="BD296">
        <v>16.0123</v>
      </c>
    </row>
    <row r="297" spans="1:56">
      <c r="A297" s="17">
        <v>45479</v>
      </c>
      <c r="B297">
        <v>35.145499999999998</v>
      </c>
      <c r="D297">
        <v>68.452200000000005</v>
      </c>
      <c r="G297">
        <v>16.398499999999999</v>
      </c>
      <c r="J297">
        <v>41.489899999999999</v>
      </c>
      <c r="K297" s="10">
        <v>15.695399999999999</v>
      </c>
      <c r="L297" s="10">
        <v>15.1555</v>
      </c>
      <c r="M297" s="10"/>
      <c r="N297" s="10">
        <v>9.3531999999999993</v>
      </c>
      <c r="O297" s="10">
        <v>19.160799999999998</v>
      </c>
      <c r="P297" s="10">
        <v>30.745200000000001</v>
      </c>
      <c r="Q297" s="10">
        <v>22.779</v>
      </c>
      <c r="R297" s="10"/>
      <c r="S297" s="10">
        <v>72.124399999999994</v>
      </c>
      <c r="T297" s="10"/>
      <c r="U297" s="10"/>
      <c r="V297" s="10"/>
      <c r="W297" s="10"/>
      <c r="X297" s="10"/>
      <c r="Y297" s="10"/>
      <c r="Z297" s="10"/>
      <c r="AA297" s="10">
        <v>25.797599999999999</v>
      </c>
      <c r="AB297" s="10"/>
      <c r="AC297" s="10">
        <v>13.686400000000001</v>
      </c>
      <c r="AD297" s="10">
        <v>9.5178999999999991</v>
      </c>
      <c r="AE297" s="10">
        <v>12.8208</v>
      </c>
      <c r="AF297" s="10">
        <v>14.3125</v>
      </c>
      <c r="AG297" s="10">
        <v>10.1502</v>
      </c>
      <c r="AH297" s="10">
        <v>10.337300000000001</v>
      </c>
      <c r="AI297" s="10">
        <v>15.4107</v>
      </c>
      <c r="AJ297" s="10"/>
      <c r="AK297" s="10">
        <v>27.725200000000001</v>
      </c>
      <c r="AL297" s="10">
        <v>14.5535</v>
      </c>
      <c r="AM297" s="10"/>
      <c r="AN297" s="10"/>
      <c r="AO297" s="10">
        <v>4.5231000000000003</v>
      </c>
      <c r="AP297" s="10">
        <v>6.9962</v>
      </c>
      <c r="AS297">
        <v>20.299600000000002</v>
      </c>
      <c r="AY297">
        <v>13.682600000000001</v>
      </c>
      <c r="BA297">
        <v>26.749300000000002</v>
      </c>
      <c r="BB297">
        <v>17.754999999999999</v>
      </c>
      <c r="BD297">
        <v>16.168299999999999</v>
      </c>
    </row>
    <row r="298" spans="1:56">
      <c r="A298" s="17">
        <v>45486</v>
      </c>
      <c r="B298">
        <v>35.533299999999997</v>
      </c>
      <c r="D298">
        <v>69.2102</v>
      </c>
      <c r="G298">
        <v>16.486999999999998</v>
      </c>
      <c r="J298">
        <v>41.682400000000001</v>
      </c>
      <c r="K298" s="10">
        <v>15.8475</v>
      </c>
      <c r="L298" s="10">
        <v>15.6168</v>
      </c>
      <c r="M298" s="10"/>
      <c r="N298" s="10">
        <v>9.4717000000000002</v>
      </c>
      <c r="O298" s="10">
        <v>19.0776</v>
      </c>
      <c r="P298" s="10">
        <v>31.0456</v>
      </c>
      <c r="Q298" s="10">
        <v>22.948</v>
      </c>
      <c r="R298" s="10"/>
      <c r="S298" s="10">
        <v>72.831100000000006</v>
      </c>
      <c r="T298" s="10"/>
      <c r="U298" s="10"/>
      <c r="V298" s="10"/>
      <c r="W298" s="10"/>
      <c r="X298" s="10"/>
      <c r="Y298" s="10"/>
      <c r="Z298" s="10"/>
      <c r="AA298" s="10">
        <v>25.7742</v>
      </c>
      <c r="AB298" s="10"/>
      <c r="AC298" s="10">
        <v>13.817299999999999</v>
      </c>
      <c r="AD298" s="10">
        <v>9.6524000000000001</v>
      </c>
      <c r="AE298" s="10">
        <v>12.8444</v>
      </c>
      <c r="AF298" s="10">
        <v>14.0601</v>
      </c>
      <c r="AG298" s="10">
        <v>9.9773999999999994</v>
      </c>
      <c r="AH298" s="10">
        <v>10.539</v>
      </c>
      <c r="AI298" s="10">
        <v>15.453200000000001</v>
      </c>
      <c r="AJ298" s="10"/>
      <c r="AK298" s="10">
        <v>27.890999999999998</v>
      </c>
      <c r="AL298" s="10">
        <v>14.730499999999999</v>
      </c>
      <c r="AM298" s="10"/>
      <c r="AN298" s="10"/>
      <c r="AO298" s="10">
        <v>4.5693000000000001</v>
      </c>
      <c r="AP298" s="10">
        <v>7.0486000000000004</v>
      </c>
      <c r="AS298">
        <v>20.352599999999999</v>
      </c>
      <c r="AY298">
        <v>13.6716</v>
      </c>
      <c r="BA298">
        <v>26.957599999999999</v>
      </c>
      <c r="BB298">
        <v>17.891400000000001</v>
      </c>
      <c r="BD298">
        <v>16.213699999999999</v>
      </c>
    </row>
    <row r="299" spans="1:56">
      <c r="A299" s="17">
        <v>45493</v>
      </c>
      <c r="B299">
        <v>35.521500000000003</v>
      </c>
      <c r="D299">
        <v>69.187299999999993</v>
      </c>
      <c r="G299">
        <v>16.848099999999999</v>
      </c>
      <c r="J299">
        <v>41.440199999999997</v>
      </c>
      <c r="K299" s="10">
        <v>15.6381</v>
      </c>
      <c r="L299" s="10">
        <v>14.7628</v>
      </c>
      <c r="M299" s="10"/>
      <c r="N299" s="10">
        <v>9.3201000000000001</v>
      </c>
      <c r="O299" s="10">
        <v>18.7424</v>
      </c>
      <c r="P299" s="10">
        <v>30.682700000000001</v>
      </c>
      <c r="Q299" s="10">
        <v>22.734999999999999</v>
      </c>
      <c r="R299" s="10"/>
      <c r="S299" s="10">
        <v>72.116399999999999</v>
      </c>
      <c r="T299" s="10"/>
      <c r="U299" s="10"/>
      <c r="V299" s="10"/>
      <c r="W299" s="10"/>
      <c r="X299" s="10"/>
      <c r="Y299" s="10"/>
      <c r="Z299" s="10"/>
      <c r="AA299" s="10">
        <v>25.0915</v>
      </c>
      <c r="AB299" s="10"/>
      <c r="AC299" s="10">
        <v>13.665800000000001</v>
      </c>
      <c r="AD299" s="10">
        <v>9.4708000000000006</v>
      </c>
      <c r="AE299" s="10">
        <v>12.6165</v>
      </c>
      <c r="AF299" s="10">
        <v>14.049200000000001</v>
      </c>
      <c r="AG299" s="10">
        <v>9.9640000000000004</v>
      </c>
      <c r="AH299" s="10">
        <v>10.664899999999999</v>
      </c>
      <c r="AI299" s="10">
        <v>15.2714</v>
      </c>
      <c r="AJ299" s="10"/>
      <c r="AK299" s="10">
        <v>27.880500000000001</v>
      </c>
      <c r="AL299" s="10">
        <v>14.683</v>
      </c>
      <c r="AM299" s="10"/>
      <c r="AN299" s="10"/>
      <c r="AO299" s="10">
        <v>4.4592000000000001</v>
      </c>
      <c r="AP299" s="10">
        <v>6.8895999999999997</v>
      </c>
      <c r="AS299">
        <v>20.282800000000002</v>
      </c>
      <c r="AY299">
        <v>13.3842</v>
      </c>
      <c r="BA299">
        <v>26.729600000000001</v>
      </c>
      <c r="BB299">
        <v>17.7408</v>
      </c>
      <c r="BD299">
        <v>16.028300000000002</v>
      </c>
    </row>
    <row r="300" spans="1:56">
      <c r="A300" s="17">
        <v>45500</v>
      </c>
      <c r="B300">
        <v>35.334000000000003</v>
      </c>
      <c r="D300">
        <v>68.841300000000004</v>
      </c>
      <c r="G300">
        <v>16.753</v>
      </c>
      <c r="J300">
        <v>41.192700000000002</v>
      </c>
      <c r="K300" s="10">
        <v>15.4915</v>
      </c>
      <c r="L300" s="10">
        <v>13.779299999999999</v>
      </c>
      <c r="M300" s="10"/>
      <c r="N300" s="10">
        <v>8.8645999999999994</v>
      </c>
      <c r="O300" s="10">
        <v>18.099599999999999</v>
      </c>
      <c r="P300" s="10">
        <v>30.6404</v>
      </c>
      <c r="Q300" s="10">
        <v>22.690999999999999</v>
      </c>
      <c r="R300" s="10"/>
      <c r="S300" s="10">
        <v>72.002899999999997</v>
      </c>
      <c r="T300" s="10"/>
      <c r="U300" s="10"/>
      <c r="V300" s="10"/>
      <c r="W300" s="10"/>
      <c r="X300" s="10"/>
      <c r="Y300" s="10"/>
      <c r="Z300" s="10"/>
      <c r="AA300" s="10">
        <v>23.974499999999999</v>
      </c>
      <c r="AB300" s="10"/>
      <c r="AC300" s="10">
        <v>13.3347</v>
      </c>
      <c r="AD300" s="10">
        <v>9.0973000000000006</v>
      </c>
      <c r="AE300" s="10">
        <v>12.1816</v>
      </c>
      <c r="AF300" s="10">
        <v>13.7562</v>
      </c>
      <c r="AG300" s="10">
        <v>9.7606999999999999</v>
      </c>
      <c r="AH300" s="10">
        <v>10.284700000000001</v>
      </c>
      <c r="AI300" s="10">
        <v>15.2485</v>
      </c>
      <c r="AJ300" s="10"/>
      <c r="AK300" s="10">
        <v>27.858899999999998</v>
      </c>
      <c r="AL300" s="10">
        <v>14.620699999999999</v>
      </c>
      <c r="AM300" s="10"/>
      <c r="AN300" s="10"/>
      <c r="AO300" s="10">
        <v>4.2460000000000004</v>
      </c>
      <c r="AP300" s="10">
        <v>6.7220000000000004</v>
      </c>
      <c r="AS300">
        <v>20.0792</v>
      </c>
      <c r="AY300">
        <v>13.0504</v>
      </c>
      <c r="BA300">
        <v>26.0608</v>
      </c>
      <c r="BB300">
        <v>17.293199999999999</v>
      </c>
      <c r="BD300">
        <v>15.8841</v>
      </c>
    </row>
    <row r="301" spans="1:56">
      <c r="A301" s="17">
        <v>45507</v>
      </c>
      <c r="B301">
        <v>35.129399999999997</v>
      </c>
      <c r="D301">
        <v>68.436300000000003</v>
      </c>
      <c r="G301">
        <v>16.8813</v>
      </c>
      <c r="J301">
        <v>41.104700000000001</v>
      </c>
      <c r="K301" s="10">
        <v>15.480700000000001</v>
      </c>
      <c r="L301" s="10">
        <v>14.1624</v>
      </c>
      <c r="M301" s="10"/>
      <c r="N301" s="10">
        <v>8.8940999999999999</v>
      </c>
      <c r="O301" s="10">
        <v>18.445399999999999</v>
      </c>
      <c r="P301" s="10">
        <v>30.473199999999999</v>
      </c>
      <c r="Q301" s="10">
        <v>22.596499999999999</v>
      </c>
      <c r="R301" s="10"/>
      <c r="S301" s="10">
        <v>71.608999999999995</v>
      </c>
      <c r="T301" s="10"/>
      <c r="U301" s="10"/>
      <c r="V301" s="10"/>
      <c r="W301" s="10"/>
      <c r="X301" s="10"/>
      <c r="Y301" s="10"/>
      <c r="Z301" s="10"/>
      <c r="AA301" s="10">
        <v>24.010100000000001</v>
      </c>
      <c r="AB301" s="10"/>
      <c r="AC301" s="10">
        <v>13.383900000000001</v>
      </c>
      <c r="AD301" s="10">
        <v>9.1206999999999994</v>
      </c>
      <c r="AE301" s="10">
        <v>12.2179</v>
      </c>
      <c r="AF301" s="10">
        <v>13.500500000000001</v>
      </c>
      <c r="AG301" s="10">
        <v>9.577</v>
      </c>
      <c r="AH301" s="10">
        <v>10.1716</v>
      </c>
      <c r="AI301" s="10">
        <v>15.036300000000001</v>
      </c>
      <c r="AJ301" s="10"/>
      <c r="AK301" s="10">
        <v>27.781300000000002</v>
      </c>
      <c r="AL301" s="10">
        <v>14.5731</v>
      </c>
      <c r="AM301" s="10"/>
      <c r="AN301" s="10"/>
      <c r="AO301" s="10">
        <v>4.2679999999999998</v>
      </c>
      <c r="AP301" s="10">
        <v>6.8289999999999997</v>
      </c>
      <c r="AS301">
        <v>20.2791</v>
      </c>
      <c r="AY301">
        <v>13.0036</v>
      </c>
      <c r="BA301">
        <v>26.235900000000001</v>
      </c>
      <c r="BB301">
        <v>17.412600000000001</v>
      </c>
      <c r="BD301">
        <v>15.9009</v>
      </c>
    </row>
    <row r="302" spans="1:56">
      <c r="A302" s="17">
        <v>45514</v>
      </c>
      <c r="B302">
        <v>34.321300000000001</v>
      </c>
      <c r="D302">
        <v>66.937399999999997</v>
      </c>
      <c r="G302">
        <v>16.6326</v>
      </c>
      <c r="J302">
        <v>40.275399999999998</v>
      </c>
      <c r="K302" s="10">
        <v>15.1342</v>
      </c>
      <c r="L302" s="10">
        <v>13.111599999999999</v>
      </c>
      <c r="M302" s="10"/>
      <c r="N302" s="10">
        <v>8.6710999999999991</v>
      </c>
      <c r="O302" s="10">
        <v>17.4253</v>
      </c>
      <c r="P302" s="10">
        <v>30.015499999999999</v>
      </c>
      <c r="Q302" s="10">
        <v>22.284800000000001</v>
      </c>
      <c r="R302" s="10"/>
      <c r="S302" s="10">
        <v>70.586500000000001</v>
      </c>
      <c r="T302" s="10"/>
      <c r="U302" s="10"/>
      <c r="V302" s="10"/>
      <c r="W302" s="10"/>
      <c r="X302" s="10"/>
      <c r="Y302" s="10"/>
      <c r="Z302" s="10"/>
      <c r="AA302" s="10">
        <v>23.3658</v>
      </c>
      <c r="AB302" s="10"/>
      <c r="AC302" s="10">
        <v>13.118</v>
      </c>
      <c r="AD302" s="10">
        <v>8.8059999999999992</v>
      </c>
      <c r="AE302" s="10">
        <v>11.4998</v>
      </c>
      <c r="AF302" s="10">
        <v>13.3855</v>
      </c>
      <c r="AG302" s="10">
        <v>9.4994999999999994</v>
      </c>
      <c r="AH302" s="10">
        <v>10.1182</v>
      </c>
      <c r="AI302" s="10">
        <v>14.287100000000001</v>
      </c>
      <c r="AJ302" s="10"/>
      <c r="AK302" s="10">
        <v>27.480899999999998</v>
      </c>
      <c r="AL302" s="10">
        <v>14.2209</v>
      </c>
      <c r="AM302" s="10"/>
      <c r="AN302" s="10"/>
      <c r="AO302" s="10">
        <v>4.2018000000000004</v>
      </c>
      <c r="AP302" s="10">
        <v>6.3445</v>
      </c>
      <c r="AS302">
        <v>20.043800000000001</v>
      </c>
      <c r="AY302">
        <v>12.8119</v>
      </c>
      <c r="BA302">
        <v>25.602</v>
      </c>
      <c r="BB302">
        <v>16.992599999999999</v>
      </c>
      <c r="BD302">
        <v>15.4817</v>
      </c>
    </row>
    <row r="303" spans="1:56">
      <c r="A303" s="17">
        <v>45521</v>
      </c>
      <c r="B303">
        <v>33.997900000000001</v>
      </c>
      <c r="D303">
        <v>66.294200000000004</v>
      </c>
      <c r="G303">
        <v>16.793399999999998</v>
      </c>
      <c r="J303">
        <v>40.4681</v>
      </c>
      <c r="K303" s="10">
        <v>15.203799999999999</v>
      </c>
      <c r="L303" s="10">
        <v>13.848100000000001</v>
      </c>
      <c r="M303" s="10"/>
      <c r="N303" s="10">
        <v>8.7725000000000009</v>
      </c>
      <c r="O303" s="10">
        <v>17.940300000000001</v>
      </c>
      <c r="P303" s="10">
        <v>29.9803</v>
      </c>
      <c r="Q303" s="10">
        <v>22.26</v>
      </c>
      <c r="R303" s="10"/>
      <c r="S303" s="10">
        <v>70.456900000000005</v>
      </c>
      <c r="T303" s="10"/>
      <c r="U303" s="10"/>
      <c r="V303" s="10"/>
      <c r="W303" s="10"/>
      <c r="X303" s="10"/>
      <c r="Y303" s="10"/>
      <c r="Z303" s="10"/>
      <c r="AA303" s="10">
        <v>24.6557</v>
      </c>
      <c r="AB303" s="10"/>
      <c r="AC303" s="10">
        <v>13.6006</v>
      </c>
      <c r="AD303" s="10">
        <v>9.0763999999999996</v>
      </c>
      <c r="AE303" s="10">
        <v>11.8591</v>
      </c>
      <c r="AF303" s="10">
        <v>13.6532</v>
      </c>
      <c r="AG303" s="10">
        <v>9.6872000000000007</v>
      </c>
      <c r="AH303" s="10">
        <v>10.2263</v>
      </c>
      <c r="AI303" s="10">
        <v>14.1099</v>
      </c>
      <c r="AJ303" s="10"/>
      <c r="AK303" s="10">
        <v>27.450199999999999</v>
      </c>
      <c r="AL303" s="10">
        <v>14.163600000000001</v>
      </c>
      <c r="AM303" s="10"/>
      <c r="AN303" s="10"/>
      <c r="AO303" s="10">
        <v>4.2370999999999999</v>
      </c>
      <c r="AP303" s="10">
        <v>6.6887999999999996</v>
      </c>
      <c r="AS303">
        <v>19.893999999999998</v>
      </c>
      <c r="AY303">
        <v>13.3841</v>
      </c>
      <c r="BA303">
        <v>26.6005</v>
      </c>
      <c r="BB303">
        <v>17.665600000000001</v>
      </c>
      <c r="BD303">
        <v>15.9107</v>
      </c>
    </row>
    <row r="304" spans="1:56">
      <c r="A304" s="17">
        <v>45528</v>
      </c>
      <c r="B304">
        <v>35.615000000000002</v>
      </c>
      <c r="D304">
        <v>69.395300000000006</v>
      </c>
      <c r="G304">
        <v>17.142600000000002</v>
      </c>
      <c r="J304">
        <v>42.054299999999998</v>
      </c>
      <c r="K304" s="10">
        <v>15.9475</v>
      </c>
      <c r="L304" s="10">
        <v>14.6569</v>
      </c>
      <c r="M304" s="10"/>
      <c r="N304" s="10">
        <v>8.9120000000000008</v>
      </c>
      <c r="O304" s="10">
        <v>18.388000000000002</v>
      </c>
      <c r="P304" s="10">
        <v>31.477</v>
      </c>
      <c r="Q304" s="10">
        <v>23.172699999999999</v>
      </c>
      <c r="R304" s="10"/>
      <c r="S304" s="10">
        <v>73.879900000000006</v>
      </c>
      <c r="T304" s="10"/>
      <c r="U304" s="10"/>
      <c r="V304" s="10"/>
      <c r="W304" s="10"/>
      <c r="X304" s="10"/>
      <c r="Y304" s="10"/>
      <c r="Z304" s="10"/>
      <c r="AA304" s="10">
        <v>24.6114</v>
      </c>
      <c r="AB304" s="10"/>
      <c r="AC304" s="10">
        <v>13.678800000000001</v>
      </c>
      <c r="AD304" s="10">
        <v>9.2836999999999996</v>
      </c>
      <c r="AE304" s="10">
        <v>12.177300000000001</v>
      </c>
      <c r="AF304" s="10">
        <v>13.7194</v>
      </c>
      <c r="AG304" s="10">
        <v>9.7306000000000008</v>
      </c>
      <c r="AH304" s="10">
        <v>10.3065</v>
      </c>
      <c r="AI304" s="10">
        <v>14.932</v>
      </c>
      <c r="AJ304" s="10"/>
      <c r="AK304" s="10">
        <v>27.981200000000001</v>
      </c>
      <c r="AL304" s="10">
        <v>14.9145</v>
      </c>
      <c r="AM304" s="10"/>
      <c r="AN304" s="10"/>
      <c r="AO304" s="10">
        <v>4.2918000000000003</v>
      </c>
      <c r="AP304" s="10">
        <v>6.9135</v>
      </c>
      <c r="AS304">
        <v>20.427099999999999</v>
      </c>
      <c r="AY304">
        <v>13.3886</v>
      </c>
      <c r="BA304">
        <v>26.693300000000001</v>
      </c>
      <c r="BB304">
        <v>17.723099999999999</v>
      </c>
      <c r="BD304">
        <v>16.052</v>
      </c>
    </row>
    <row r="305" spans="1:56">
      <c r="A305" s="17">
        <v>45535</v>
      </c>
      <c r="B305">
        <v>35.789900000000003</v>
      </c>
      <c r="D305">
        <v>69.730500000000006</v>
      </c>
      <c r="G305">
        <v>17.256699999999999</v>
      </c>
      <c r="J305">
        <v>42.126100000000001</v>
      </c>
      <c r="K305" s="10">
        <v>15.9529</v>
      </c>
      <c r="L305" s="10">
        <v>14.3765</v>
      </c>
      <c r="M305" s="10"/>
      <c r="N305" s="10">
        <v>8.9041999999999994</v>
      </c>
      <c r="O305" s="10">
        <v>18.342600000000001</v>
      </c>
      <c r="P305" s="10">
        <v>31.718599999999999</v>
      </c>
      <c r="Q305" s="10">
        <v>23.319900000000001</v>
      </c>
      <c r="R305" s="10"/>
      <c r="S305" s="10">
        <v>74.424800000000005</v>
      </c>
      <c r="T305" s="10"/>
      <c r="U305" s="10"/>
      <c r="V305" s="10"/>
      <c r="W305" s="10"/>
      <c r="X305" s="10"/>
      <c r="Y305" s="10"/>
      <c r="Z305" s="10"/>
      <c r="AA305" s="10">
        <v>24.380099999999999</v>
      </c>
      <c r="AB305" s="10"/>
      <c r="AC305" s="10">
        <v>13.751200000000001</v>
      </c>
      <c r="AD305" s="10">
        <v>9.1347000000000005</v>
      </c>
      <c r="AE305" s="10">
        <v>12.2273</v>
      </c>
      <c r="AF305" s="10">
        <v>13.6571</v>
      </c>
      <c r="AG305" s="10">
        <v>9.6881000000000004</v>
      </c>
      <c r="AH305" s="10">
        <v>10.201599999999999</v>
      </c>
      <c r="AI305" s="10">
        <v>14.9657</v>
      </c>
      <c r="AJ305" s="10"/>
      <c r="AK305" s="10">
        <v>28.058700000000002</v>
      </c>
      <c r="AL305" s="10">
        <v>14.927099999999999</v>
      </c>
      <c r="AM305" s="10"/>
      <c r="AN305" s="10"/>
      <c r="AO305" s="10">
        <v>4.1559999999999997</v>
      </c>
      <c r="AP305" s="10">
        <v>6.8178000000000001</v>
      </c>
      <c r="AS305">
        <v>20.667400000000001</v>
      </c>
      <c r="AY305">
        <v>13.3903</v>
      </c>
      <c r="BA305">
        <v>26.7639</v>
      </c>
      <c r="BB305">
        <v>17.770499999999998</v>
      </c>
      <c r="BD305">
        <v>16.295300000000001</v>
      </c>
    </row>
    <row r="306" spans="1:56">
      <c r="A306" s="17">
        <v>45542</v>
      </c>
      <c r="B306">
        <v>38.144799999999996</v>
      </c>
      <c r="D306">
        <v>72.252799999999993</v>
      </c>
      <c r="G306">
        <v>17.205100000000002</v>
      </c>
      <c r="J306">
        <v>44.433900000000001</v>
      </c>
      <c r="K306" s="10">
        <v>16.9251</v>
      </c>
      <c r="L306" s="10">
        <v>13.7051</v>
      </c>
      <c r="M306" s="10"/>
      <c r="N306" s="10">
        <v>8.6990999999999996</v>
      </c>
      <c r="O306" s="10">
        <v>17.6187</v>
      </c>
      <c r="P306" s="10">
        <v>33.515700000000002</v>
      </c>
      <c r="Q306" s="10">
        <v>24.3931</v>
      </c>
      <c r="R306" s="10"/>
      <c r="S306" s="10">
        <v>78.546400000000006</v>
      </c>
      <c r="T306" s="10"/>
      <c r="U306" s="10"/>
      <c r="V306" s="10"/>
      <c r="W306" s="10"/>
      <c r="X306" s="10"/>
      <c r="Y306" s="10"/>
      <c r="Z306" s="10"/>
      <c r="AA306" s="10">
        <v>23.4803</v>
      </c>
      <c r="AB306" s="10"/>
      <c r="AC306" s="10">
        <v>13.520099999999999</v>
      </c>
      <c r="AD306" s="10">
        <v>8.9108000000000001</v>
      </c>
      <c r="AE306" s="10">
        <v>11.786199999999999</v>
      </c>
      <c r="AF306" s="10">
        <v>13.4489</v>
      </c>
      <c r="AG306" s="10">
        <v>9.5433000000000003</v>
      </c>
      <c r="AH306" s="10">
        <v>9.9669000000000008</v>
      </c>
      <c r="AI306" s="10">
        <v>15.797800000000001</v>
      </c>
      <c r="AJ306" s="10"/>
      <c r="AK306" s="10">
        <v>28.793900000000001</v>
      </c>
      <c r="AL306" s="10">
        <v>16.0458</v>
      </c>
      <c r="AM306" s="10"/>
      <c r="AN306" s="10"/>
      <c r="AO306" s="10">
        <v>4.1470000000000002</v>
      </c>
      <c r="AP306" s="10">
        <v>6.7003000000000004</v>
      </c>
      <c r="AS306">
        <v>21.503499999999999</v>
      </c>
      <c r="AY306">
        <v>13.2156</v>
      </c>
      <c r="BA306">
        <v>26.312799999999999</v>
      </c>
      <c r="BB306">
        <v>17.472000000000001</v>
      </c>
      <c r="BD306">
        <v>15.885</v>
      </c>
    </row>
    <row r="307" spans="1:56">
      <c r="A307" s="17">
        <v>45549</v>
      </c>
      <c r="B307">
        <v>37.9726</v>
      </c>
      <c r="D307">
        <v>73.932699999999997</v>
      </c>
      <c r="G307">
        <v>17.2394</v>
      </c>
      <c r="J307">
        <v>44.258099999999999</v>
      </c>
      <c r="K307" s="10">
        <v>16.873000000000001</v>
      </c>
      <c r="L307" s="10">
        <v>13.927199999999999</v>
      </c>
      <c r="M307" s="10"/>
      <c r="N307" s="10">
        <v>8.5884</v>
      </c>
      <c r="O307" s="10">
        <v>17.753900000000002</v>
      </c>
      <c r="P307" s="10">
        <v>33.451599999999999</v>
      </c>
      <c r="Q307" s="10">
        <v>24.3673</v>
      </c>
      <c r="R307" s="10"/>
      <c r="S307" s="10">
        <v>78.418199999999999</v>
      </c>
      <c r="T307" s="10"/>
      <c r="U307" s="10"/>
      <c r="V307" s="10"/>
      <c r="W307" s="10"/>
      <c r="X307" s="10"/>
      <c r="Y307" s="10"/>
      <c r="Z307" s="10"/>
      <c r="AA307" s="10">
        <v>24.042000000000002</v>
      </c>
      <c r="AB307" s="10"/>
      <c r="AC307" s="10">
        <v>13.6694</v>
      </c>
      <c r="AD307" s="10">
        <v>9.1687999999999992</v>
      </c>
      <c r="AE307" s="10">
        <v>11.8919</v>
      </c>
      <c r="AF307" s="10">
        <v>13.257999999999999</v>
      </c>
      <c r="AG307" s="10">
        <v>9.4094999999999995</v>
      </c>
      <c r="AH307" s="10">
        <v>9.67</v>
      </c>
      <c r="AI307" s="10">
        <v>15.912100000000001</v>
      </c>
      <c r="AJ307" s="10"/>
      <c r="AK307" s="10">
        <v>28.769100000000002</v>
      </c>
      <c r="AL307" s="10">
        <v>15.9802</v>
      </c>
      <c r="AM307" s="10"/>
      <c r="AN307" s="10"/>
      <c r="AO307" s="10">
        <v>4.0913000000000004</v>
      </c>
      <c r="AP307" s="10">
        <v>6.8323</v>
      </c>
      <c r="AS307">
        <v>21.290700000000001</v>
      </c>
      <c r="AY307">
        <v>13.4483</v>
      </c>
      <c r="BA307">
        <v>26.727</v>
      </c>
      <c r="BB307">
        <v>17.751200000000001</v>
      </c>
      <c r="BD307">
        <v>15.8774</v>
      </c>
    </row>
    <row r="308" spans="1:56">
      <c r="A308" s="17">
        <v>45556</v>
      </c>
      <c r="B308">
        <v>38.51</v>
      </c>
      <c r="D308">
        <v>74.974999999999994</v>
      </c>
      <c r="G308">
        <v>17.456</v>
      </c>
      <c r="J308">
        <v>45.122399999999999</v>
      </c>
      <c r="K308" s="10">
        <v>17.207599999999999</v>
      </c>
      <c r="L308" s="10">
        <v>14.348699999999999</v>
      </c>
      <c r="M308" s="10"/>
      <c r="N308" s="10">
        <v>8.8307000000000002</v>
      </c>
      <c r="O308" s="10">
        <v>18.0671</v>
      </c>
      <c r="P308" s="10">
        <v>33.800899999999999</v>
      </c>
      <c r="Q308" s="10">
        <v>24.559000000000001</v>
      </c>
      <c r="R308" s="10"/>
      <c r="S308" s="10">
        <v>79.212699999999998</v>
      </c>
      <c r="T308" s="10"/>
      <c r="U308" s="10"/>
      <c r="V308" s="10"/>
      <c r="W308" s="10"/>
      <c r="X308" s="10"/>
      <c r="Y308" s="10"/>
      <c r="Z308" s="10"/>
      <c r="AA308" s="10">
        <v>24.453600000000002</v>
      </c>
      <c r="AB308" s="10"/>
      <c r="AC308" s="10">
        <v>13.9117</v>
      </c>
      <c r="AD308" s="10">
        <v>9.3194999999999997</v>
      </c>
      <c r="AE308" s="10">
        <v>12.125500000000001</v>
      </c>
      <c r="AF308" s="10">
        <v>13.407</v>
      </c>
      <c r="AG308" s="10">
        <v>9.5129999999999999</v>
      </c>
      <c r="AH308" s="10">
        <v>9.7753999999999994</v>
      </c>
      <c r="AI308" s="10">
        <v>16.456399999999999</v>
      </c>
      <c r="AJ308" s="10"/>
      <c r="AK308" s="10">
        <v>29.013100000000001</v>
      </c>
      <c r="AL308" s="10">
        <v>16.200399999999998</v>
      </c>
      <c r="AM308" s="10"/>
      <c r="AN308" s="10"/>
      <c r="AO308" s="10">
        <v>4.2195999999999998</v>
      </c>
      <c r="AP308" s="10">
        <v>6.8727</v>
      </c>
      <c r="AS308">
        <v>21.624099999999999</v>
      </c>
      <c r="AY308">
        <v>13.6755</v>
      </c>
      <c r="BA308">
        <v>27.210999999999999</v>
      </c>
      <c r="BB308">
        <v>18.073799999999999</v>
      </c>
      <c r="BD308">
        <v>16.141400000000001</v>
      </c>
    </row>
    <row r="309" spans="1:56">
      <c r="A309" s="17">
        <v>45563</v>
      </c>
      <c r="B309">
        <v>38.335999999999999</v>
      </c>
      <c r="D309">
        <v>74.635199999999998</v>
      </c>
      <c r="G309">
        <v>17.4665</v>
      </c>
      <c r="J309">
        <v>45.083500000000001</v>
      </c>
      <c r="K309" s="10">
        <v>17.1938</v>
      </c>
      <c r="L309" s="10">
        <v>14.7163</v>
      </c>
      <c r="M309" s="10"/>
      <c r="N309" s="10">
        <v>9.7103000000000002</v>
      </c>
      <c r="O309" s="10">
        <v>18.207599999999999</v>
      </c>
      <c r="P309" s="10">
        <v>33.892299999999999</v>
      </c>
      <c r="Q309" s="10">
        <v>24.621099999999998</v>
      </c>
      <c r="R309" s="10"/>
      <c r="S309" s="10">
        <v>79.355599999999995</v>
      </c>
      <c r="T309" s="10"/>
      <c r="U309" s="10"/>
      <c r="V309" s="10"/>
      <c r="W309" s="10"/>
      <c r="X309" s="10"/>
      <c r="Y309" s="10"/>
      <c r="Z309" s="10"/>
      <c r="AA309" s="10">
        <v>24.6937</v>
      </c>
      <c r="AB309" s="10"/>
      <c r="AC309" s="10">
        <v>14.0489</v>
      </c>
      <c r="AD309" s="10">
        <v>9.3122000000000007</v>
      </c>
      <c r="AE309" s="10">
        <v>12.289300000000001</v>
      </c>
      <c r="AF309" s="10">
        <v>13.2958</v>
      </c>
      <c r="AG309" s="10">
        <v>9.4377999999999993</v>
      </c>
      <c r="AH309" s="10">
        <v>11.4063</v>
      </c>
      <c r="AI309" s="10">
        <v>16.278099999999998</v>
      </c>
      <c r="AJ309" s="10"/>
      <c r="AK309" s="10">
        <v>28.964300000000001</v>
      </c>
      <c r="AL309" s="10">
        <v>16.074999999999999</v>
      </c>
      <c r="AM309" s="10"/>
      <c r="AN309" s="10"/>
      <c r="AO309" s="10">
        <v>4.8045</v>
      </c>
      <c r="AP309" s="10">
        <v>6.9349999999999996</v>
      </c>
      <c r="AS309">
        <v>21.640999999999998</v>
      </c>
      <c r="AY309">
        <v>13.8415</v>
      </c>
      <c r="BA309">
        <v>27.291499999999999</v>
      </c>
      <c r="BB309">
        <v>18.1297</v>
      </c>
      <c r="BD309">
        <v>16.218900000000001</v>
      </c>
    </row>
    <row r="310" spans="1:56">
      <c r="A310" s="17">
        <v>45570</v>
      </c>
      <c r="B310">
        <v>38.2776</v>
      </c>
      <c r="D310">
        <v>74.5184</v>
      </c>
      <c r="G310">
        <v>17.336600000000001</v>
      </c>
      <c r="J310">
        <v>44.506300000000003</v>
      </c>
      <c r="K310" s="10">
        <v>17.071000000000002</v>
      </c>
      <c r="L310" s="10">
        <v>14.362500000000001</v>
      </c>
      <c r="M310" s="10"/>
      <c r="N310" s="10">
        <v>10.4214</v>
      </c>
      <c r="O310" s="10">
        <v>18.0275</v>
      </c>
      <c r="P310" s="10">
        <v>33.807099999999998</v>
      </c>
      <c r="Q310" s="10">
        <v>24.5457</v>
      </c>
      <c r="R310" s="10"/>
      <c r="S310" s="10">
        <v>79.170699999999997</v>
      </c>
      <c r="T310" s="10">
        <v>18.728300000000001</v>
      </c>
      <c r="U310" s="10"/>
      <c r="V310" s="10"/>
      <c r="W310" s="10"/>
      <c r="X310" s="10"/>
      <c r="Y310" s="10"/>
      <c r="Z310" s="10"/>
      <c r="AA310" s="10">
        <v>24.360600000000002</v>
      </c>
      <c r="AB310" s="10"/>
      <c r="AC310" s="10">
        <v>13.917199999999999</v>
      </c>
      <c r="AD310" s="10">
        <v>9.2476000000000003</v>
      </c>
      <c r="AE310" s="10">
        <v>12.13</v>
      </c>
      <c r="AF310" s="10">
        <v>13.245100000000001</v>
      </c>
      <c r="AG310" s="10">
        <v>9.4053000000000004</v>
      </c>
      <c r="AH310" s="10">
        <v>11.8741</v>
      </c>
      <c r="AI310" s="10">
        <v>16.145</v>
      </c>
      <c r="AJ310" s="10">
        <v>19.426200000000001</v>
      </c>
      <c r="AK310" s="10">
        <v>28.898</v>
      </c>
      <c r="AL310" s="10">
        <v>16.097899999999999</v>
      </c>
      <c r="AM310" s="10">
        <v>14.3643</v>
      </c>
      <c r="AN310" s="10"/>
      <c r="AO310" s="10">
        <v>5.5904999999999996</v>
      </c>
      <c r="AP310" s="10">
        <v>6.8798000000000004</v>
      </c>
      <c r="AS310">
        <v>21.631799999999998</v>
      </c>
      <c r="AU310">
        <v>15.2201</v>
      </c>
      <c r="AY310">
        <v>13.797700000000001</v>
      </c>
      <c r="BA310">
        <v>27.074200000000001</v>
      </c>
      <c r="BB310">
        <v>17.987500000000001</v>
      </c>
      <c r="BD310">
        <v>15.942600000000001</v>
      </c>
    </row>
    <row r="311" spans="1:56">
      <c r="A311" s="17">
        <v>45577</v>
      </c>
      <c r="B311">
        <v>38.955199999999998</v>
      </c>
      <c r="D311">
        <v>75.804000000000002</v>
      </c>
      <c r="G311">
        <v>17.327400000000001</v>
      </c>
      <c r="J311">
        <v>45.199399999999997</v>
      </c>
      <c r="K311" s="10">
        <v>17.324300000000001</v>
      </c>
      <c r="L311" s="10">
        <v>14.6677</v>
      </c>
      <c r="M311" s="10"/>
      <c r="N311" s="10">
        <v>10.226000000000001</v>
      </c>
      <c r="O311" s="10">
        <v>17.895700000000001</v>
      </c>
      <c r="P311" s="10">
        <v>34.442799999999998</v>
      </c>
      <c r="Q311" s="10">
        <v>24.913900000000002</v>
      </c>
      <c r="R311" s="10"/>
      <c r="S311" s="10">
        <v>80.616100000000003</v>
      </c>
      <c r="T311" s="10">
        <v>18.761900000000001</v>
      </c>
      <c r="U311" s="10"/>
      <c r="V311" s="10"/>
      <c r="W311" s="10"/>
      <c r="X311" s="10"/>
      <c r="Y311" s="10"/>
      <c r="Z311" s="10"/>
      <c r="AA311">
        <v>24.915900000000001</v>
      </c>
      <c r="AC311" s="10">
        <v>14.043699999999999</v>
      </c>
      <c r="AD311" s="10">
        <v>9.3344000000000005</v>
      </c>
      <c r="AE311" s="10">
        <v>12.0303</v>
      </c>
      <c r="AF311" s="10">
        <v>13.5313</v>
      </c>
      <c r="AG311" s="10">
        <v>9.6044</v>
      </c>
      <c r="AH311" s="10">
        <v>11.970599999999999</v>
      </c>
      <c r="AI311" s="10">
        <v>16.358799999999999</v>
      </c>
      <c r="AJ311" s="10">
        <v>19.490600000000001</v>
      </c>
      <c r="AK311" s="10">
        <v>29.103200000000001</v>
      </c>
      <c r="AL311" s="10">
        <v>16.395900000000001</v>
      </c>
      <c r="AM311" s="10">
        <v>14.417999999999999</v>
      </c>
      <c r="AN311" s="10"/>
      <c r="AO311" s="10">
        <v>5.2732000000000001</v>
      </c>
      <c r="AP311" s="10">
        <v>7.0266999999999999</v>
      </c>
      <c r="AS311">
        <v>21.689499999999999</v>
      </c>
      <c r="AU311">
        <v>15.261699999999999</v>
      </c>
      <c r="AY311">
        <v>13.976900000000001</v>
      </c>
      <c r="BA311">
        <v>27.462599999999998</v>
      </c>
      <c r="BB311">
        <v>18.241900000000001</v>
      </c>
      <c r="BD311">
        <v>16.0349</v>
      </c>
    </row>
    <row r="312" spans="1:56">
      <c r="A312" s="17">
        <v>45584</v>
      </c>
      <c r="B312">
        <v>39.359099999999998</v>
      </c>
      <c r="D312">
        <v>76.570599999999999</v>
      </c>
      <c r="G312">
        <v>17.477499999999999</v>
      </c>
      <c r="J312">
        <v>45.810600000000001</v>
      </c>
      <c r="K312" s="10">
        <v>17.497</v>
      </c>
      <c r="L312" s="10">
        <v>14.6066</v>
      </c>
      <c r="M312" s="10"/>
      <c r="N312" s="10">
        <v>9.6132000000000009</v>
      </c>
      <c r="O312" s="10">
        <v>17.489000000000001</v>
      </c>
      <c r="P312" s="10">
        <v>34.637799999999999</v>
      </c>
      <c r="Q312" s="10">
        <v>24.998999999999999</v>
      </c>
      <c r="R312" s="10"/>
      <c r="S312" s="10">
        <v>81.104399999999998</v>
      </c>
      <c r="T312" s="10">
        <v>19.235700000000001</v>
      </c>
      <c r="U312" s="10"/>
      <c r="V312" s="10"/>
      <c r="W312" s="10"/>
      <c r="X312" s="10"/>
      <c r="Y312" s="10"/>
      <c r="Z312" s="10"/>
      <c r="AA312" s="10">
        <v>24.831700000000001</v>
      </c>
      <c r="AB312" s="10"/>
      <c r="AC312" s="10">
        <v>14.0914</v>
      </c>
      <c r="AD312" s="10">
        <v>9.4024000000000001</v>
      </c>
      <c r="AE312" s="10">
        <v>11.8436</v>
      </c>
      <c r="AF312" s="10">
        <v>13.196400000000001</v>
      </c>
      <c r="AG312" s="10">
        <v>9.3719000000000001</v>
      </c>
      <c r="AH312" s="10">
        <v>11.755800000000001</v>
      </c>
      <c r="AI312" s="10">
        <v>16.246500000000001</v>
      </c>
      <c r="AJ312" s="10">
        <v>19.9483</v>
      </c>
      <c r="AK312" s="10">
        <v>29.218399999999999</v>
      </c>
      <c r="AL312" s="10">
        <v>16.540299999999998</v>
      </c>
      <c r="AM312" s="10">
        <v>14.544499999999999</v>
      </c>
      <c r="AN312" s="10"/>
      <c r="AO312" s="10">
        <v>4.8940999999999999</v>
      </c>
      <c r="AP312" s="10">
        <v>7.0350999999999999</v>
      </c>
      <c r="AS312">
        <v>21.739799999999999</v>
      </c>
      <c r="AU312">
        <v>15.629300000000001</v>
      </c>
      <c r="AY312">
        <v>13.9618</v>
      </c>
      <c r="BA312">
        <v>27.7331</v>
      </c>
      <c r="BB312">
        <v>18.4206</v>
      </c>
      <c r="BD312">
        <v>16.1358</v>
      </c>
    </row>
    <row r="313" spans="1:56">
      <c r="A313" s="17">
        <v>45591</v>
      </c>
      <c r="B313">
        <v>38.390500000000003</v>
      </c>
      <c r="D313">
        <v>74.712699999999998</v>
      </c>
      <c r="G313">
        <v>17.392600000000002</v>
      </c>
      <c r="J313">
        <v>45.122300000000003</v>
      </c>
      <c r="K313" s="10">
        <v>17.176500000000001</v>
      </c>
      <c r="L313" s="10">
        <v>14.636900000000001</v>
      </c>
      <c r="M313" s="10"/>
      <c r="N313" s="10">
        <v>9.7820999999999998</v>
      </c>
      <c r="O313" s="10">
        <v>17.508700000000001</v>
      </c>
      <c r="P313" s="10">
        <v>33.813200000000002</v>
      </c>
      <c r="Q313" s="10">
        <v>24.472300000000001</v>
      </c>
      <c r="R313" s="10"/>
      <c r="S313" s="10">
        <v>79.180499999999995</v>
      </c>
      <c r="T313" s="10">
        <v>19.47</v>
      </c>
      <c r="U313" s="10"/>
      <c r="V313" s="10"/>
      <c r="W313" s="10"/>
      <c r="X313" s="10"/>
      <c r="Y313" s="10"/>
      <c r="Z313" s="10"/>
      <c r="AA313" s="10">
        <v>24.892700000000001</v>
      </c>
      <c r="AB313" s="10"/>
      <c r="AC313" s="10">
        <v>13.996700000000001</v>
      </c>
      <c r="AD313" s="10">
        <v>9.4626000000000001</v>
      </c>
      <c r="AE313" s="10">
        <v>11.811299999999999</v>
      </c>
      <c r="AF313" s="10">
        <v>13.067</v>
      </c>
      <c r="AG313" s="10">
        <v>9.2821999999999996</v>
      </c>
      <c r="AH313" s="10">
        <v>11.6616</v>
      </c>
      <c r="AI313" s="10">
        <v>16.363199999999999</v>
      </c>
      <c r="AJ313" s="10">
        <v>19.952400000000001</v>
      </c>
      <c r="AK313" s="10">
        <v>28.970800000000001</v>
      </c>
      <c r="AL313" s="10">
        <v>16.161100000000001</v>
      </c>
      <c r="AM313" s="10">
        <v>14.263299999999999</v>
      </c>
      <c r="AN313" s="10"/>
      <c r="AO313" s="10">
        <v>5.0266999999999999</v>
      </c>
      <c r="AP313" s="10">
        <v>7.0595999999999997</v>
      </c>
      <c r="AS313">
        <v>21.4541</v>
      </c>
      <c r="AU313">
        <v>15.657500000000001</v>
      </c>
      <c r="AY313">
        <v>13.979699999999999</v>
      </c>
      <c r="BA313">
        <v>27.579799999999999</v>
      </c>
      <c r="BB313">
        <v>18.322500000000002</v>
      </c>
      <c r="BD313">
        <v>15.988</v>
      </c>
    </row>
    <row r="314" spans="1:56">
      <c r="A314" s="17">
        <v>45598</v>
      </c>
      <c r="B314">
        <v>38.075099999999999</v>
      </c>
      <c r="D314">
        <v>74.120900000000006</v>
      </c>
      <c r="G314">
        <v>17.043399999999998</v>
      </c>
      <c r="J314">
        <v>45.098199999999999</v>
      </c>
      <c r="K314" s="10">
        <v>17.206700000000001</v>
      </c>
      <c r="L314" s="10">
        <v>14.270799999999999</v>
      </c>
      <c r="M314" s="10"/>
      <c r="N314" s="10">
        <v>9.5574999999999992</v>
      </c>
      <c r="O314" s="10">
        <v>17.1083</v>
      </c>
      <c r="P314" s="10">
        <v>33.840600000000002</v>
      </c>
      <c r="Q314" s="10">
        <v>24.512499999999999</v>
      </c>
      <c r="R314" s="10"/>
      <c r="S314" s="10">
        <v>79.255700000000004</v>
      </c>
      <c r="T314" s="10">
        <v>19.435199999999998</v>
      </c>
      <c r="U314" s="10"/>
      <c r="V314" s="10"/>
      <c r="W314" s="10"/>
      <c r="X314" s="10"/>
      <c r="Y314" s="10"/>
      <c r="Z314" s="10"/>
      <c r="AA314" s="10">
        <v>24.490300000000001</v>
      </c>
      <c r="AB314" s="10"/>
      <c r="AC314" s="10">
        <v>13.771800000000001</v>
      </c>
      <c r="AD314" s="10">
        <v>9.4687999999999999</v>
      </c>
      <c r="AE314" s="10">
        <v>11.650600000000001</v>
      </c>
      <c r="AF314" s="10">
        <v>13.161099999999999</v>
      </c>
      <c r="AG314" s="10">
        <v>9.3429000000000002</v>
      </c>
      <c r="AH314" s="10">
        <v>11.4955</v>
      </c>
      <c r="AI314" s="10">
        <v>16.4255</v>
      </c>
      <c r="AJ314" s="10">
        <v>19.9542</v>
      </c>
      <c r="AK314" s="10">
        <v>28.8706</v>
      </c>
      <c r="AL314" s="10">
        <v>15.985099999999999</v>
      </c>
      <c r="AM314" s="10">
        <v>14.2174</v>
      </c>
      <c r="AN314" s="10"/>
      <c r="AO314" s="10">
        <v>4.9302999999999999</v>
      </c>
      <c r="AP314" s="10">
        <v>7.0636999999999999</v>
      </c>
      <c r="AS314">
        <v>21.4495</v>
      </c>
      <c r="AU314">
        <v>15.6541</v>
      </c>
      <c r="AY314">
        <v>13.726900000000001</v>
      </c>
      <c r="BA314">
        <v>27.0794</v>
      </c>
      <c r="BB314">
        <v>17.9879</v>
      </c>
      <c r="BD314">
        <v>15.5885</v>
      </c>
    </row>
    <row r="315" spans="1:56">
      <c r="A315" s="17">
        <v>45605</v>
      </c>
      <c r="B315">
        <v>37.6858</v>
      </c>
      <c r="D315">
        <v>73.346999999999994</v>
      </c>
      <c r="G315">
        <v>17.381699999999999</v>
      </c>
      <c r="J315">
        <v>44.584699999999998</v>
      </c>
      <c r="K315" s="10">
        <v>16.8002</v>
      </c>
      <c r="L315" s="10">
        <v>15.011100000000001</v>
      </c>
      <c r="M315" s="10"/>
      <c r="N315" s="10">
        <v>9.8728999999999996</v>
      </c>
      <c r="O315" s="10">
        <v>17.207699999999999</v>
      </c>
      <c r="P315" s="10">
        <v>33.549999999999997</v>
      </c>
      <c r="Q315" s="10">
        <v>24.330200000000001</v>
      </c>
      <c r="R315" s="10"/>
      <c r="S315" s="10">
        <v>78.601200000000006</v>
      </c>
      <c r="T315" s="10">
        <v>19.0595</v>
      </c>
      <c r="U315" s="10"/>
      <c r="V315" s="10"/>
      <c r="W315" s="10"/>
      <c r="X315" s="10"/>
      <c r="Y315" s="10"/>
      <c r="Z315" s="10"/>
      <c r="AA315" s="10">
        <v>25.9344</v>
      </c>
      <c r="AB315" s="10"/>
      <c r="AC315" s="10">
        <v>14.2989</v>
      </c>
      <c r="AD315" s="10">
        <v>9.5677000000000003</v>
      </c>
      <c r="AE315" s="10">
        <v>11.5543</v>
      </c>
      <c r="AF315" s="10">
        <v>13.2338</v>
      </c>
      <c r="AG315" s="10">
        <v>9.3917999999999999</v>
      </c>
      <c r="AH315" s="10">
        <v>11.8619</v>
      </c>
      <c r="AI315" s="10">
        <v>16.279699999999998</v>
      </c>
      <c r="AJ315" s="10">
        <v>19.040800000000001</v>
      </c>
      <c r="AK315" s="10">
        <v>28.752300000000002</v>
      </c>
      <c r="AL315" s="10">
        <v>15.793699999999999</v>
      </c>
      <c r="AM315" s="10">
        <v>14.029500000000001</v>
      </c>
      <c r="AN315" s="10"/>
      <c r="AO315" s="10">
        <v>5.1595000000000004</v>
      </c>
      <c r="AP315" s="10">
        <v>7.2298999999999998</v>
      </c>
      <c r="AS315">
        <v>21.448599999999999</v>
      </c>
      <c r="AU315">
        <v>15.326700000000001</v>
      </c>
      <c r="AY315">
        <v>14.3453</v>
      </c>
      <c r="BA315">
        <v>28.337</v>
      </c>
      <c r="BB315">
        <v>18.829899999999999</v>
      </c>
      <c r="BD315">
        <v>15.731400000000001</v>
      </c>
    </row>
    <row r="316" spans="1:56">
      <c r="A316" s="17">
        <v>45612</v>
      </c>
      <c r="B316" s="10">
        <v>36.920900000000003</v>
      </c>
      <c r="C316" s="10"/>
      <c r="D316">
        <v>71.887299999999996</v>
      </c>
      <c r="G316">
        <v>17.296600000000002</v>
      </c>
      <c r="J316">
        <v>43.326900000000002</v>
      </c>
      <c r="K316" s="10">
        <v>16.382300000000001</v>
      </c>
      <c r="L316" s="10">
        <v>14.9978</v>
      </c>
      <c r="M316" s="10"/>
      <c r="N316" s="10">
        <v>9.2887000000000004</v>
      </c>
      <c r="O316" s="10">
        <v>17.045300000000001</v>
      </c>
      <c r="P316" s="10">
        <v>32.837600000000002</v>
      </c>
      <c r="Q316" s="10">
        <v>23.8902</v>
      </c>
      <c r="R316" s="10"/>
      <c r="S316" s="10">
        <v>76.959299999999999</v>
      </c>
      <c r="T316" s="10">
        <v>18.950600000000001</v>
      </c>
      <c r="U316" s="10"/>
      <c r="V316" s="10"/>
      <c r="W316" s="10"/>
      <c r="X316" s="10"/>
      <c r="Y316" s="10"/>
      <c r="Z316" s="10"/>
      <c r="AA316" s="10">
        <v>25.741199999999999</v>
      </c>
      <c r="AB316" s="10"/>
      <c r="AC316" s="10">
        <v>14.1066</v>
      </c>
      <c r="AD316" s="10">
        <v>9.9343000000000004</v>
      </c>
      <c r="AE316" s="10">
        <v>11.4468</v>
      </c>
      <c r="AF316" s="10">
        <v>13.045400000000001</v>
      </c>
      <c r="AG316" s="10">
        <v>9.26</v>
      </c>
      <c r="AH316" s="10">
        <v>11.452500000000001</v>
      </c>
      <c r="AI316" s="10">
        <v>15.966900000000001</v>
      </c>
      <c r="AJ316" s="10">
        <v>18.915400000000002</v>
      </c>
      <c r="AK316" s="10">
        <v>28.492899999999999</v>
      </c>
      <c r="AL316" s="10">
        <v>15.4236</v>
      </c>
      <c r="AM316" s="10">
        <v>13.938800000000001</v>
      </c>
      <c r="AN316" s="10"/>
      <c r="AO316" s="10">
        <v>4.8238000000000003</v>
      </c>
      <c r="AP316" s="10">
        <v>7.2916999999999996</v>
      </c>
      <c r="AS316">
        <v>21.119700000000002</v>
      </c>
      <c r="AU316">
        <v>14.856299999999999</v>
      </c>
      <c r="AY316">
        <v>14.3184</v>
      </c>
      <c r="BA316">
        <v>28.2744</v>
      </c>
      <c r="BB316">
        <v>18.793099999999999</v>
      </c>
      <c r="BD316">
        <v>15.6595</v>
      </c>
    </row>
    <row r="317" spans="1:56">
      <c r="A317" s="17">
        <v>45619</v>
      </c>
      <c r="B317" s="10">
        <v>37.398499999999999</v>
      </c>
      <c r="C317" s="10"/>
      <c r="D317">
        <v>72.791399999999996</v>
      </c>
      <c r="G317">
        <v>17.058900000000001</v>
      </c>
      <c r="J317">
        <v>43.763500000000001</v>
      </c>
      <c r="K317" s="10">
        <v>16.6006</v>
      </c>
      <c r="L317" s="10">
        <v>14.8528</v>
      </c>
      <c r="M317" s="10"/>
      <c r="N317" s="10">
        <v>9.3337000000000003</v>
      </c>
      <c r="O317" s="10">
        <v>16.5823</v>
      </c>
      <c r="P317" s="10">
        <v>33.136200000000002</v>
      </c>
      <c r="Q317" s="10">
        <v>24.075700000000001</v>
      </c>
      <c r="R317" s="10"/>
      <c r="S317" s="10">
        <v>77.664699999999996</v>
      </c>
      <c r="T317" s="10">
        <v>19.4575</v>
      </c>
      <c r="U317" s="10"/>
      <c r="V317" s="10"/>
      <c r="W317" s="10"/>
      <c r="X317" s="10"/>
      <c r="Y317" s="10"/>
      <c r="Z317" s="10"/>
      <c r="AA317" s="10">
        <v>25.530899999999999</v>
      </c>
      <c r="AB317" s="10"/>
      <c r="AC317" s="10">
        <v>14.1196</v>
      </c>
      <c r="AD317" s="10">
        <v>9.6867000000000001</v>
      </c>
      <c r="AE317" s="10">
        <v>11.193300000000001</v>
      </c>
      <c r="AF317" s="10">
        <v>12.994400000000001</v>
      </c>
      <c r="AG317" s="10">
        <v>9.2296999999999993</v>
      </c>
      <c r="AH317" s="10">
        <v>11.2943</v>
      </c>
      <c r="AI317" s="10">
        <v>16.275500000000001</v>
      </c>
      <c r="AJ317" s="10">
        <v>19.5121</v>
      </c>
      <c r="AK317" s="10">
        <v>28.7241</v>
      </c>
      <c r="AL317" s="10">
        <v>15.725</v>
      </c>
      <c r="AM317" s="10">
        <v>14.0534</v>
      </c>
      <c r="AN317" s="10"/>
      <c r="AO317" s="10">
        <v>4.8296999999999999</v>
      </c>
      <c r="AP317" s="10">
        <v>7.1113999999999997</v>
      </c>
      <c r="AS317">
        <v>21.2042</v>
      </c>
      <c r="AU317">
        <v>15.3185</v>
      </c>
      <c r="AY317">
        <v>14.3842</v>
      </c>
      <c r="BA317">
        <v>28.245699999999999</v>
      </c>
      <c r="BB317">
        <v>18.772600000000001</v>
      </c>
      <c r="BD317">
        <v>15.5007</v>
      </c>
    </row>
    <row r="318" spans="1:56">
      <c r="A318" s="17">
        <v>45626</v>
      </c>
      <c r="B318" s="10">
        <v>36.636699999999998</v>
      </c>
      <c r="C318" s="10"/>
      <c r="D318">
        <v>71.328800000000001</v>
      </c>
      <c r="G318">
        <v>17.417000000000002</v>
      </c>
      <c r="J318">
        <v>43.072400000000002</v>
      </c>
      <c r="K318" s="10">
        <v>16.3734</v>
      </c>
      <c r="L318" s="10">
        <v>14.9773</v>
      </c>
      <c r="M318" s="10"/>
      <c r="N318" s="10">
        <v>9.1399000000000008</v>
      </c>
      <c r="O318" s="10">
        <v>17.056899999999999</v>
      </c>
      <c r="P318" s="10">
        <v>32.493200000000002</v>
      </c>
      <c r="Q318" s="10">
        <v>23.700900000000001</v>
      </c>
      <c r="R318" s="10"/>
      <c r="S318" s="10">
        <v>76.186899999999994</v>
      </c>
      <c r="T318" s="10">
        <v>19.093399999999999</v>
      </c>
      <c r="U318" s="10"/>
      <c r="V318" s="10"/>
      <c r="W318" s="10"/>
      <c r="X318" s="10"/>
      <c r="Y318" s="10"/>
      <c r="Z318" s="10"/>
      <c r="AA318" s="10">
        <v>25.533799999999999</v>
      </c>
      <c r="AB318" s="10"/>
      <c r="AC318" s="10">
        <v>14.2247</v>
      </c>
      <c r="AD318" s="10">
        <v>10.0707</v>
      </c>
      <c r="AE318" s="10">
        <v>11.4077</v>
      </c>
      <c r="AF318" s="10">
        <v>13.2111</v>
      </c>
      <c r="AG318" s="10">
        <v>9.3771000000000004</v>
      </c>
      <c r="AH318" s="10">
        <v>11.3561</v>
      </c>
      <c r="AI318" s="10">
        <v>16.124600000000001</v>
      </c>
      <c r="AJ318" s="10">
        <v>19.234500000000001</v>
      </c>
      <c r="AK318" s="10">
        <v>28.544899999999998</v>
      </c>
      <c r="AL318" s="10">
        <v>15.3858</v>
      </c>
      <c r="AM318" s="10">
        <v>13.951000000000001</v>
      </c>
      <c r="AN318" s="10"/>
      <c r="AO318" s="10">
        <v>4.7473999999999998</v>
      </c>
      <c r="AP318" s="10">
        <v>7.2573999999999996</v>
      </c>
      <c r="AS318">
        <v>20.722000000000001</v>
      </c>
      <c r="AU318">
        <v>15.083</v>
      </c>
      <c r="AY318">
        <v>14.4876</v>
      </c>
      <c r="BA318">
        <v>28.500599999999999</v>
      </c>
      <c r="BB318">
        <v>18.945399999999999</v>
      </c>
      <c r="BD318">
        <v>15.6366</v>
      </c>
    </row>
    <row r="319" spans="1:56">
      <c r="A319" s="17">
        <v>45633</v>
      </c>
      <c r="B319" s="10">
        <v>37.286299999999997</v>
      </c>
      <c r="C319" s="10"/>
      <c r="D319">
        <v>72.564599999999999</v>
      </c>
      <c r="G319">
        <v>17.461300000000001</v>
      </c>
      <c r="J319">
        <v>44.005499999999998</v>
      </c>
      <c r="K319" s="10">
        <v>16.717400000000001</v>
      </c>
      <c r="L319" s="10">
        <v>15.509499999999999</v>
      </c>
      <c r="M319" s="10"/>
      <c r="N319" s="10">
        <v>9.3892000000000007</v>
      </c>
      <c r="O319" s="10">
        <v>17.4511</v>
      </c>
      <c r="P319" s="10">
        <v>33.160699999999999</v>
      </c>
      <c r="Q319" s="10">
        <v>24.097999999999999</v>
      </c>
      <c r="R319" s="10"/>
      <c r="S319" s="10">
        <v>77.691400000000002</v>
      </c>
      <c r="T319" s="10">
        <v>18.832899999999999</v>
      </c>
      <c r="U319" s="10"/>
      <c r="V319" s="10"/>
      <c r="W319" s="10"/>
      <c r="X319" s="10"/>
      <c r="Y319" s="10"/>
      <c r="Z319" s="10"/>
      <c r="AA319" s="10">
        <v>25.987300000000001</v>
      </c>
      <c r="AB319" s="10"/>
      <c r="AC319" s="10">
        <v>14.4307</v>
      </c>
      <c r="AD319" s="10">
        <v>9.9978999999999996</v>
      </c>
      <c r="AE319" s="10">
        <v>11.7995</v>
      </c>
      <c r="AF319" s="10">
        <v>13.3887</v>
      </c>
      <c r="AG319" s="10">
        <v>9.5017999999999994</v>
      </c>
      <c r="AH319" s="10">
        <v>11.5723</v>
      </c>
      <c r="AI319" s="10">
        <v>16.265799999999999</v>
      </c>
      <c r="AJ319" s="10">
        <v>19.290500000000002</v>
      </c>
      <c r="AK319" s="10">
        <v>28.799199999999999</v>
      </c>
      <c r="AL319" s="10">
        <v>15.7516</v>
      </c>
      <c r="AM319" s="10">
        <v>14.0402</v>
      </c>
      <c r="AN319" s="10"/>
      <c r="AO319" s="10">
        <v>4.7323000000000004</v>
      </c>
      <c r="AP319" s="10">
        <v>7.2751000000000001</v>
      </c>
      <c r="AS319">
        <v>20.965800000000002</v>
      </c>
      <c r="AU319">
        <v>15.1045</v>
      </c>
      <c r="AY319">
        <v>14.815300000000001</v>
      </c>
      <c r="BA319">
        <v>28.870999999999999</v>
      </c>
      <c r="BB319">
        <v>19.1935</v>
      </c>
      <c r="BD319">
        <v>15.9405</v>
      </c>
    </row>
    <row r="320" spans="1:56">
      <c r="A320" s="17">
        <v>45640</v>
      </c>
      <c r="B320" s="10">
        <v>36.334899999999998</v>
      </c>
      <c r="C320" s="10"/>
      <c r="D320">
        <v>70.740099999999998</v>
      </c>
      <c r="G320">
        <v>17.426600000000001</v>
      </c>
      <c r="J320">
        <v>43.299100000000003</v>
      </c>
      <c r="K320" s="10">
        <v>16.462399999999999</v>
      </c>
      <c r="L320" s="10">
        <v>15.4636</v>
      </c>
      <c r="M320" s="10"/>
      <c r="N320" s="10">
        <v>9.6572999999999993</v>
      </c>
      <c r="O320" s="10">
        <v>17.464500000000001</v>
      </c>
      <c r="P320" s="10">
        <v>32.569499999999998</v>
      </c>
      <c r="Q320" s="10">
        <v>23.763000000000002</v>
      </c>
      <c r="R320" s="10"/>
      <c r="S320" s="10">
        <v>76.316800000000001</v>
      </c>
      <c r="T320" s="10">
        <v>19.0717</v>
      </c>
      <c r="U320" s="10"/>
      <c r="V320" s="10"/>
      <c r="W320" s="10"/>
      <c r="X320" s="10"/>
      <c r="Y320" s="10"/>
      <c r="Z320" s="10"/>
      <c r="AA320" s="10">
        <v>26.0703</v>
      </c>
      <c r="AB320" s="10"/>
      <c r="AC320" s="10">
        <v>14.315300000000001</v>
      </c>
      <c r="AD320" s="10">
        <v>10.026400000000001</v>
      </c>
      <c r="AE320" s="10">
        <v>11.8628</v>
      </c>
      <c r="AF320" s="10">
        <v>13.3118</v>
      </c>
      <c r="AG320" s="10">
        <v>9.4441000000000006</v>
      </c>
      <c r="AH320" s="10">
        <v>11.456799999999999</v>
      </c>
      <c r="AI320" s="10">
        <v>15.931100000000001</v>
      </c>
      <c r="AJ320" s="10">
        <v>19.385000000000002</v>
      </c>
      <c r="AK320" s="10">
        <v>28.578499999999998</v>
      </c>
      <c r="AL320" s="10">
        <v>15.454800000000001</v>
      </c>
      <c r="AM320" s="10">
        <v>13.789300000000001</v>
      </c>
      <c r="AN320" s="10"/>
      <c r="AO320" s="10">
        <v>4.9104000000000001</v>
      </c>
      <c r="AP320" s="10">
        <v>7.3842999999999996</v>
      </c>
      <c r="AS320">
        <v>20.550599999999999</v>
      </c>
      <c r="AU320">
        <v>15.1859</v>
      </c>
      <c r="AY320">
        <v>14.299200000000001</v>
      </c>
      <c r="BA320">
        <v>27.9543</v>
      </c>
      <c r="BB320">
        <v>19.052800000000001</v>
      </c>
      <c r="BD320">
        <v>15.953900000000001</v>
      </c>
    </row>
    <row r="321" spans="1:56">
      <c r="A321" s="17">
        <v>45647</v>
      </c>
      <c r="B321" s="10">
        <v>34.585799999999999</v>
      </c>
      <c r="C321" s="10"/>
      <c r="D321">
        <v>67.442999999999998</v>
      </c>
      <c r="G321">
        <v>17.0105</v>
      </c>
      <c r="J321">
        <v>41.064599999999999</v>
      </c>
      <c r="K321" s="10">
        <v>15.555300000000001</v>
      </c>
      <c r="L321" s="10">
        <v>15.1561</v>
      </c>
      <c r="M321" s="10"/>
      <c r="N321">
        <v>9.4108000000000001</v>
      </c>
      <c r="O321" s="10">
        <v>17.1007</v>
      </c>
      <c r="P321" s="10">
        <v>31.0593</v>
      </c>
      <c r="Q321" s="10">
        <v>22.861499999999999</v>
      </c>
      <c r="R321" s="10"/>
      <c r="S321" s="10">
        <v>72.891800000000003</v>
      </c>
      <c r="T321" s="10">
        <v>18.9254</v>
      </c>
      <c r="U321" s="10"/>
      <c r="V321" s="10"/>
      <c r="W321" s="10"/>
      <c r="X321" s="10"/>
      <c r="Y321" s="10"/>
      <c r="Z321" s="10"/>
      <c r="AA321" s="10">
        <v>25.505600000000001</v>
      </c>
      <c r="AB321" s="10"/>
      <c r="AC321" s="10">
        <v>13.8628</v>
      </c>
      <c r="AD321" s="10">
        <v>9.6477000000000004</v>
      </c>
      <c r="AE321" s="10">
        <v>11.5778</v>
      </c>
      <c r="AF321" s="10">
        <v>13.349500000000001</v>
      </c>
      <c r="AG321" s="10">
        <v>9.4688999999999997</v>
      </c>
      <c r="AH321" s="10">
        <v>11.4892</v>
      </c>
      <c r="AI321" s="10">
        <v>15.1076</v>
      </c>
      <c r="AJ321" s="10">
        <v>19.1739</v>
      </c>
      <c r="AK321" s="10">
        <v>27.939</v>
      </c>
      <c r="AL321" s="10">
        <v>14.5901</v>
      </c>
      <c r="AM321" s="10">
        <v>13.555899999999999</v>
      </c>
      <c r="AN321" s="10"/>
      <c r="AO321" s="10">
        <v>4.7610000000000001</v>
      </c>
      <c r="AP321" s="10">
        <v>7.0885999999999996</v>
      </c>
      <c r="AS321">
        <v>19.852900000000002</v>
      </c>
      <c r="AU321">
        <v>15.010300000000001</v>
      </c>
      <c r="AY321">
        <v>14.013400000000001</v>
      </c>
      <c r="BA321">
        <v>27.131399999999999</v>
      </c>
      <c r="BB321">
        <v>18.491800000000001</v>
      </c>
      <c r="BD321">
        <v>15.6181</v>
      </c>
    </row>
    <row r="322" spans="1:56">
      <c r="A322" s="17">
        <v>45654</v>
      </c>
      <c r="B322" s="10">
        <v>35.738399999999999</v>
      </c>
      <c r="C322" s="10"/>
      <c r="D322">
        <v>69.638099999999994</v>
      </c>
      <c r="G322">
        <v>16.957599999999999</v>
      </c>
      <c r="J322">
        <v>42.145299999999999</v>
      </c>
      <c r="K322" s="10">
        <v>15.9916</v>
      </c>
      <c r="L322" s="10">
        <v>15.292999999999999</v>
      </c>
      <c r="M322" s="10"/>
      <c r="N322" s="10">
        <v>9.4901999999999997</v>
      </c>
      <c r="O322" s="10">
        <v>16.727900000000002</v>
      </c>
      <c r="P322" s="10">
        <v>31.854199999999999</v>
      </c>
      <c r="Q322" s="10">
        <v>23.324100000000001</v>
      </c>
      <c r="R322" s="10"/>
      <c r="S322" s="10">
        <v>74.715299999999999</v>
      </c>
      <c r="T322" s="10">
        <v>19.139900000000001</v>
      </c>
      <c r="U322" s="10"/>
      <c r="V322" s="10"/>
      <c r="W322" s="10"/>
      <c r="X322" s="10"/>
      <c r="Y322" s="10"/>
      <c r="Z322" s="10"/>
      <c r="AA322" s="10">
        <v>26.219000000000001</v>
      </c>
      <c r="AB322" s="10"/>
      <c r="AC322" s="10">
        <v>14.1526</v>
      </c>
      <c r="AD322" s="10">
        <v>9.7637999999999998</v>
      </c>
      <c r="AE322" s="10">
        <v>11.3843</v>
      </c>
      <c r="AF322" s="10">
        <v>13.4003</v>
      </c>
      <c r="AG322" s="10">
        <v>9.5058000000000007</v>
      </c>
      <c r="AH322" s="10">
        <v>11.6853</v>
      </c>
      <c r="AI322" s="10">
        <v>15.4513</v>
      </c>
      <c r="AJ322" s="10">
        <v>19.0244</v>
      </c>
      <c r="AK322" s="10">
        <v>28.274100000000001</v>
      </c>
      <c r="AL322" s="10">
        <v>15.0213</v>
      </c>
      <c r="AM322" s="10">
        <v>13.5985</v>
      </c>
      <c r="AN322" s="10"/>
      <c r="AO322" s="10">
        <v>4.7412999999999998</v>
      </c>
      <c r="AP322" s="10">
        <v>7.3075000000000001</v>
      </c>
      <c r="AS322">
        <v>20.3447</v>
      </c>
      <c r="AU322">
        <v>14.8797</v>
      </c>
      <c r="AY322">
        <v>14.399900000000001</v>
      </c>
      <c r="BA322">
        <v>27.8308</v>
      </c>
      <c r="BB322">
        <v>18.975100000000001</v>
      </c>
      <c r="BD322">
        <v>15.4984</v>
      </c>
    </row>
    <row r="323" spans="1:56">
      <c r="A323" s="17">
        <v>45661</v>
      </c>
      <c r="B323" s="10">
        <v>35.410699999999999</v>
      </c>
      <c r="C323" s="10"/>
      <c r="D323">
        <v>69.016999999999996</v>
      </c>
      <c r="G323">
        <v>16.922599999999999</v>
      </c>
      <c r="J323">
        <v>41.782899999999998</v>
      </c>
      <c r="K323" s="10">
        <v>15.8362</v>
      </c>
      <c r="L323" s="10">
        <v>15.0984</v>
      </c>
      <c r="M323" s="10"/>
      <c r="N323" s="10">
        <v>9.2464999999999993</v>
      </c>
      <c r="O323" s="10">
        <v>16.7164</v>
      </c>
      <c r="P323" s="10">
        <v>31.586300000000001</v>
      </c>
      <c r="Q323" s="10">
        <v>23.174199999999999</v>
      </c>
      <c r="R323" s="10"/>
      <c r="S323" s="10">
        <v>74.070899999999995</v>
      </c>
      <c r="T323" s="10">
        <v>19.150500000000001</v>
      </c>
      <c r="U323" s="10"/>
      <c r="V323" s="10"/>
      <c r="W323" s="10"/>
      <c r="X323" s="10"/>
      <c r="Y323" s="10"/>
      <c r="Z323" s="10"/>
      <c r="AA323" s="10">
        <v>25.283899999999999</v>
      </c>
      <c r="AB323" s="10"/>
      <c r="AC323" s="10">
        <v>13.833</v>
      </c>
      <c r="AD323" s="10">
        <v>9.6831999999999994</v>
      </c>
      <c r="AE323" s="10">
        <v>11.382400000000001</v>
      </c>
      <c r="AF323" s="10">
        <v>13.3154</v>
      </c>
      <c r="AG323" s="10">
        <v>9.4461999999999993</v>
      </c>
      <c r="AH323" s="10">
        <v>11.264799999999999</v>
      </c>
      <c r="AI323" s="10">
        <v>15.2315</v>
      </c>
      <c r="AJ323" s="10">
        <v>19.148499999999999</v>
      </c>
      <c r="AK323" s="10">
        <v>28.130700000000001</v>
      </c>
      <c r="AL323" s="10">
        <v>14.859</v>
      </c>
      <c r="AM323" s="10">
        <v>13.438599999999999</v>
      </c>
      <c r="AN323" s="10"/>
      <c r="AO323" s="10">
        <v>4.6321000000000003</v>
      </c>
      <c r="AP323" s="10">
        <v>7.1440999999999999</v>
      </c>
      <c r="AS323">
        <v>20.145900000000001</v>
      </c>
      <c r="AU323">
        <v>15.025600000000001</v>
      </c>
      <c r="AY323">
        <v>13.9702</v>
      </c>
      <c r="BA323">
        <v>27.072700000000001</v>
      </c>
      <c r="BB323">
        <v>18.456900000000001</v>
      </c>
      <c r="BD323">
        <v>15.7494</v>
      </c>
    </row>
    <row r="324" spans="1:56">
      <c r="A324" s="17">
        <v>45668</v>
      </c>
      <c r="B324" s="10">
        <v>34.664200000000001</v>
      </c>
      <c r="C324" s="10"/>
      <c r="D324">
        <v>67.61</v>
      </c>
      <c r="G324">
        <v>16.932400000000001</v>
      </c>
      <c r="J324">
        <v>40.911700000000003</v>
      </c>
      <c r="K324" s="10">
        <v>15.4444</v>
      </c>
      <c r="L324" s="10">
        <v>15.149800000000001</v>
      </c>
      <c r="M324" s="10"/>
      <c r="N324" s="10">
        <v>9.1872000000000007</v>
      </c>
      <c r="O324" s="10">
        <v>16.994499999999999</v>
      </c>
      <c r="P324" s="10">
        <v>30.964500000000001</v>
      </c>
      <c r="Q324" s="10">
        <v>22.8142</v>
      </c>
      <c r="R324" s="10"/>
      <c r="S324" s="10">
        <v>72.584400000000002</v>
      </c>
      <c r="T324" s="10">
        <v>19.448799999999999</v>
      </c>
      <c r="U324" s="10"/>
      <c r="V324" s="10"/>
      <c r="W324" s="10"/>
      <c r="X324" s="10"/>
      <c r="Y324" s="10"/>
      <c r="Z324" s="10"/>
      <c r="AA324" s="10">
        <v>25.544899999999998</v>
      </c>
      <c r="AB324" s="10"/>
      <c r="AC324" s="10">
        <v>13.946899999999999</v>
      </c>
      <c r="AD324" s="10">
        <v>9.8527000000000005</v>
      </c>
      <c r="AE324" s="10">
        <v>11.608700000000001</v>
      </c>
      <c r="AF324" s="10">
        <v>13.0283</v>
      </c>
      <c r="AG324" s="10">
        <v>9.2528000000000006</v>
      </c>
      <c r="AH324" s="10">
        <v>11.0694</v>
      </c>
      <c r="AI324" s="10">
        <v>14.574</v>
      </c>
      <c r="AJ324" s="10">
        <v>19.449000000000002</v>
      </c>
      <c r="AK324" s="10">
        <v>27.931999999999999</v>
      </c>
      <c r="AL324" s="10">
        <v>14.6295</v>
      </c>
      <c r="AM324" s="10">
        <v>13.386699999999999</v>
      </c>
      <c r="AN324" s="10"/>
      <c r="AO324" s="10">
        <v>4.5187999999999997</v>
      </c>
      <c r="AP324" s="10">
        <v>7.1848999999999998</v>
      </c>
      <c r="AS324">
        <v>19.749500000000001</v>
      </c>
      <c r="AU324">
        <v>15.2743</v>
      </c>
      <c r="AY324">
        <v>14.107699999999999</v>
      </c>
      <c r="BA324">
        <v>27.279</v>
      </c>
      <c r="BB324">
        <v>18.600200000000001</v>
      </c>
      <c r="BD324">
        <v>15.876099999999999</v>
      </c>
    </row>
    <row r="325" spans="1:56">
      <c r="A325" s="17">
        <v>45675</v>
      </c>
      <c r="B325" s="10">
        <v>34.069099999999999</v>
      </c>
      <c r="C325" s="10">
        <v>17.1813</v>
      </c>
      <c r="D325">
        <v>66.478899999999996</v>
      </c>
      <c r="E325">
        <v>11.0839</v>
      </c>
      <c r="G325">
        <v>16.9285</v>
      </c>
      <c r="J325">
        <v>40.624200000000002</v>
      </c>
      <c r="K325" s="10">
        <v>15.285500000000001</v>
      </c>
      <c r="L325" s="10">
        <v>15.218999999999999</v>
      </c>
      <c r="M325" s="10"/>
      <c r="N325" s="10">
        <v>9.1866000000000003</v>
      </c>
      <c r="O325" s="10">
        <v>17.186800000000002</v>
      </c>
      <c r="P325" s="10">
        <v>30.276</v>
      </c>
      <c r="Q325" s="10">
        <v>22.4162</v>
      </c>
      <c r="R325" s="10"/>
      <c r="S325" s="10">
        <v>71.024799999999999</v>
      </c>
      <c r="T325" s="10">
        <v>19.601500000000001</v>
      </c>
      <c r="U325" s="10"/>
      <c r="V325" s="10">
        <v>12.0969</v>
      </c>
      <c r="W325" s="10"/>
      <c r="X325" s="10">
        <v>11.161300000000001</v>
      </c>
      <c r="Y325" s="10"/>
      <c r="Z325" s="10"/>
      <c r="AA325" s="10">
        <v>25.415700000000001</v>
      </c>
      <c r="AB325" s="10"/>
      <c r="AC325" s="10">
        <v>13.9848</v>
      </c>
      <c r="AD325" s="10">
        <v>9.9614999999999991</v>
      </c>
      <c r="AE325" s="10">
        <v>11.6647</v>
      </c>
      <c r="AF325" s="10">
        <v>13.1662</v>
      </c>
      <c r="AG325" s="10">
        <v>9.3452000000000002</v>
      </c>
      <c r="AH325" s="10">
        <v>11.1593</v>
      </c>
      <c r="AI325" s="10">
        <v>13.818300000000001</v>
      </c>
      <c r="AJ325" s="10">
        <v>19.675999999999998</v>
      </c>
      <c r="AK325" s="10">
        <v>27.735600000000002</v>
      </c>
      <c r="AL325" s="10">
        <v>14.520099999999999</v>
      </c>
      <c r="AM325" s="10">
        <v>13.312200000000001</v>
      </c>
      <c r="AN325" s="10"/>
      <c r="AO325" s="10">
        <v>4.5739000000000001</v>
      </c>
      <c r="AP325" s="10">
        <v>7.2274000000000003</v>
      </c>
      <c r="AS325">
        <v>19.475100000000001</v>
      </c>
      <c r="AU325">
        <v>15.4497</v>
      </c>
      <c r="AY325">
        <v>14.2881</v>
      </c>
      <c r="BA325">
        <v>27.366800000000001</v>
      </c>
      <c r="BB325">
        <v>18.661899999999999</v>
      </c>
      <c r="BD325">
        <v>15.9833</v>
      </c>
    </row>
    <row r="326" spans="1:56">
      <c r="A326" s="17">
        <v>45682</v>
      </c>
      <c r="B326" s="10">
        <v>34.287100000000002</v>
      </c>
      <c r="C326">
        <v>17.487100000000002</v>
      </c>
      <c r="D326">
        <v>66.897999999999996</v>
      </c>
      <c r="E326">
        <v>11.249599999999999</v>
      </c>
      <c r="G326">
        <v>17.392499999999998</v>
      </c>
      <c r="J326">
        <v>40.605699999999999</v>
      </c>
      <c r="K326" s="10">
        <v>15.3622</v>
      </c>
      <c r="L326" s="10">
        <v>15.6038</v>
      </c>
      <c r="M326" s="10"/>
      <c r="N326" s="10">
        <v>9.2674000000000003</v>
      </c>
      <c r="O326" s="10">
        <v>17.553100000000001</v>
      </c>
      <c r="P326" s="10">
        <v>30.432200000000002</v>
      </c>
      <c r="Q326" s="10">
        <v>22.4983</v>
      </c>
      <c r="R326" s="10"/>
      <c r="S326" s="10">
        <v>71.582099999999997</v>
      </c>
      <c r="T326" s="10">
        <v>19.5229</v>
      </c>
      <c r="U326" s="10"/>
      <c r="V326" s="10">
        <v>12.245799999999999</v>
      </c>
      <c r="W326" s="10"/>
      <c r="X326" s="10">
        <v>11.245100000000001</v>
      </c>
      <c r="Y326" s="10"/>
      <c r="Z326" s="10"/>
      <c r="AA326" s="10">
        <v>26.297899999999998</v>
      </c>
      <c r="AB326" s="10"/>
      <c r="AC326" s="10">
        <v>14.353300000000001</v>
      </c>
      <c r="AD326" s="10">
        <v>10.1776</v>
      </c>
      <c r="AE326" s="10">
        <v>11.9238</v>
      </c>
      <c r="AF326" s="10">
        <v>13.2508</v>
      </c>
      <c r="AG326" s="10">
        <v>9.4039000000000001</v>
      </c>
      <c r="AH326" s="10">
        <v>11.173999999999999</v>
      </c>
      <c r="AI326" s="10">
        <v>13.9552</v>
      </c>
      <c r="AJ326" s="10">
        <v>20.025300000000001</v>
      </c>
      <c r="AK326" s="10">
        <v>27.879000000000001</v>
      </c>
      <c r="AL326" s="10">
        <v>14.597200000000001</v>
      </c>
      <c r="AM326" s="10">
        <v>13.3607</v>
      </c>
      <c r="AN326" s="10"/>
      <c r="AO326" s="10">
        <v>4.6181000000000001</v>
      </c>
      <c r="AP326" s="10">
        <v>7.4808000000000003</v>
      </c>
      <c r="AS326">
        <v>19.436599999999999</v>
      </c>
      <c r="AU326">
        <v>15.695499999999999</v>
      </c>
      <c r="AY326">
        <v>14.828799999999999</v>
      </c>
      <c r="BA326">
        <v>28.119700000000002</v>
      </c>
      <c r="BB326">
        <v>19.183299999999999</v>
      </c>
      <c r="BD326">
        <v>16.270199999999999</v>
      </c>
    </row>
    <row r="327" spans="1:56">
      <c r="A327" s="17">
        <v>45689</v>
      </c>
      <c r="B327" s="10">
        <v>33.485700000000001</v>
      </c>
      <c r="C327">
        <v>17.717300000000002</v>
      </c>
      <c r="D327">
        <v>65.334500000000006</v>
      </c>
      <c r="E327">
        <v>11.234</v>
      </c>
      <c r="G327">
        <v>17.7898</v>
      </c>
      <c r="J327">
        <v>39.719200000000001</v>
      </c>
      <c r="K327" s="10">
        <v>15.007400000000001</v>
      </c>
      <c r="L327" s="10">
        <v>15.2416</v>
      </c>
      <c r="M327" s="10"/>
      <c r="N327" s="10">
        <v>9.2695000000000007</v>
      </c>
      <c r="O327" s="10">
        <v>17.668900000000001</v>
      </c>
      <c r="P327" s="10">
        <v>29.735800000000001</v>
      </c>
      <c r="Q327" s="10">
        <v>22.095199999999998</v>
      </c>
      <c r="R327" s="10"/>
      <c r="S327" s="10">
        <v>69.753900000000002</v>
      </c>
      <c r="T327" s="10">
        <v>19.6754</v>
      </c>
      <c r="U327" s="10"/>
      <c r="V327" s="10">
        <v>12.373100000000001</v>
      </c>
      <c r="W327" s="10"/>
      <c r="X327" s="10">
        <v>11.1386</v>
      </c>
      <c r="Y327" s="10"/>
      <c r="Z327" s="10"/>
      <c r="AA327" s="10">
        <v>25.808299999999999</v>
      </c>
      <c r="AB327" s="10"/>
      <c r="AC327" s="10">
        <v>14.3195</v>
      </c>
      <c r="AD327" s="10">
        <v>10.1911</v>
      </c>
      <c r="AE327" s="10">
        <v>11.979900000000001</v>
      </c>
      <c r="AF327" s="10">
        <v>13.2508</v>
      </c>
      <c r="AG327" s="10">
        <v>9.4039000000000001</v>
      </c>
      <c r="AH327" s="10">
        <v>11.172499999999999</v>
      </c>
      <c r="AI327" s="10">
        <v>13.368399999999999</v>
      </c>
      <c r="AJ327" s="10">
        <v>20.141300000000001</v>
      </c>
      <c r="AK327" s="10">
        <v>27.593399999999999</v>
      </c>
      <c r="AL327" s="10">
        <v>14.2293</v>
      </c>
      <c r="AM327" s="10">
        <v>13.1265</v>
      </c>
      <c r="AN327" s="10"/>
      <c r="AO327" s="10">
        <v>4.7523</v>
      </c>
      <c r="AP327" s="10">
        <v>7.2914000000000003</v>
      </c>
      <c r="AS327">
        <v>19.089099999999998</v>
      </c>
      <c r="AU327">
        <v>15.7895</v>
      </c>
      <c r="AY327">
        <v>14.6058</v>
      </c>
      <c r="BA327">
        <v>27.864699999999999</v>
      </c>
      <c r="BB327">
        <v>19.008600000000001</v>
      </c>
      <c r="BD327">
        <v>16.536799999999999</v>
      </c>
    </row>
    <row r="328" spans="1:56">
      <c r="A328" s="17">
        <v>45696</v>
      </c>
      <c r="B328" s="10">
        <v>32.9636</v>
      </c>
      <c r="C328">
        <v>17.829000000000001</v>
      </c>
      <c r="D328">
        <v>64.355699999999999</v>
      </c>
      <c r="E328">
        <v>11.2532</v>
      </c>
      <c r="G328">
        <v>17.7591</v>
      </c>
      <c r="J328">
        <v>39.138399999999997</v>
      </c>
      <c r="K328" s="10">
        <v>14.7059</v>
      </c>
      <c r="L328" s="10">
        <v>15.3833</v>
      </c>
      <c r="M328" s="10"/>
      <c r="N328" s="10">
        <v>9.4417000000000009</v>
      </c>
      <c r="O328" s="10">
        <v>17.7624</v>
      </c>
      <c r="P328" s="10">
        <v>29.2654</v>
      </c>
      <c r="Q328" s="10">
        <v>21.855499999999999</v>
      </c>
      <c r="R328" s="10"/>
      <c r="S328" s="10">
        <v>68.600899999999996</v>
      </c>
      <c r="T328" s="10">
        <v>20.2394</v>
      </c>
      <c r="U328" s="10"/>
      <c r="V328" s="10">
        <v>13.131500000000001</v>
      </c>
      <c r="W328" s="10"/>
      <c r="X328" s="10">
        <v>11.0969</v>
      </c>
      <c r="Y328" s="10"/>
      <c r="Z328" s="10"/>
      <c r="AA328" s="10">
        <v>26.1066</v>
      </c>
      <c r="AB328" s="10"/>
      <c r="AC328" s="10">
        <v>14.354799999999999</v>
      </c>
      <c r="AD328" s="10">
        <v>10.240500000000001</v>
      </c>
      <c r="AE328" s="10">
        <v>12.0847</v>
      </c>
      <c r="AF328" s="10">
        <v>13.108499999999999</v>
      </c>
      <c r="AG328" s="10">
        <v>9.3012999999999995</v>
      </c>
      <c r="AH328" s="10">
        <v>11.2729</v>
      </c>
      <c r="AI328" s="10">
        <v>12.767899999999999</v>
      </c>
      <c r="AJ328" s="10">
        <v>20.7302</v>
      </c>
      <c r="AK328" s="10">
        <v>27.4635</v>
      </c>
      <c r="AL328" s="10">
        <v>14.0335</v>
      </c>
      <c r="AM328" s="10">
        <v>13.001799999999999</v>
      </c>
      <c r="AN328" s="10"/>
      <c r="AO328" s="10">
        <v>4.8654000000000002</v>
      </c>
      <c r="AP328" s="10">
        <v>7.2651000000000003</v>
      </c>
      <c r="AS328">
        <v>18.774999999999999</v>
      </c>
      <c r="AU328">
        <v>16.243200000000002</v>
      </c>
      <c r="AY328">
        <v>14.604200000000001</v>
      </c>
      <c r="BA328">
        <v>27.814299999999999</v>
      </c>
      <c r="BB328">
        <v>18.976299999999998</v>
      </c>
      <c r="BD328">
        <v>16.700399999999998</v>
      </c>
    </row>
    <row r="329" spans="1:56">
      <c r="A329" s="17">
        <v>45703</v>
      </c>
      <c r="B329" s="10">
        <v>32.662599999999998</v>
      </c>
      <c r="C329">
        <v>17.3276</v>
      </c>
      <c r="D329">
        <v>63.793700000000001</v>
      </c>
      <c r="E329">
        <v>11.306900000000001</v>
      </c>
      <c r="G329">
        <v>17.746600000000001</v>
      </c>
      <c r="J329">
        <v>38.960700000000003</v>
      </c>
      <c r="K329" s="10">
        <v>14.6381</v>
      </c>
      <c r="L329" s="10">
        <v>15.615500000000001</v>
      </c>
      <c r="M329" s="10"/>
      <c r="N329" s="10">
        <v>9.5403000000000002</v>
      </c>
      <c r="O329" s="10">
        <v>17.9818</v>
      </c>
      <c r="P329" s="10">
        <v>29.235199999999999</v>
      </c>
      <c r="Q329" s="10">
        <v>21.8446</v>
      </c>
      <c r="R329" s="10"/>
      <c r="S329" s="10">
        <v>68.230699999999999</v>
      </c>
      <c r="T329" s="10">
        <v>20.664899999999999</v>
      </c>
      <c r="U329" s="10"/>
      <c r="V329" s="10">
        <v>14.1282</v>
      </c>
      <c r="W329" s="10"/>
      <c r="X329" s="10">
        <v>11.069800000000001</v>
      </c>
      <c r="Y329" s="10"/>
      <c r="Z329" s="10"/>
      <c r="AA329" s="10">
        <v>26.400200000000002</v>
      </c>
      <c r="AB329" s="10"/>
      <c r="AC329" s="10">
        <v>14.506399999999999</v>
      </c>
      <c r="AD329" s="10">
        <v>10.1409</v>
      </c>
      <c r="AE329" s="10">
        <v>12.1997</v>
      </c>
      <c r="AF329" s="10">
        <v>12.877700000000001</v>
      </c>
      <c r="AG329" s="10">
        <v>9.1446000000000005</v>
      </c>
      <c r="AH329" s="10">
        <v>11.564</v>
      </c>
      <c r="AI329" s="10">
        <v>12.7675</v>
      </c>
      <c r="AJ329" s="10">
        <v>21.173500000000001</v>
      </c>
      <c r="AK329" s="10">
        <v>27.337199999999999</v>
      </c>
      <c r="AL329" s="10">
        <v>13.8864</v>
      </c>
      <c r="AM329" s="10">
        <v>12.906700000000001</v>
      </c>
      <c r="AN329" s="10"/>
      <c r="AO329" s="10">
        <v>5.0686</v>
      </c>
      <c r="AP329" s="10">
        <v>7.2731000000000003</v>
      </c>
      <c r="AS329">
        <v>18.560600000000001</v>
      </c>
      <c r="AU329">
        <v>16.599900000000002</v>
      </c>
      <c r="AY329">
        <v>14.6591</v>
      </c>
      <c r="BA329">
        <v>28.050699999999999</v>
      </c>
      <c r="BB329">
        <v>19.140599999999999</v>
      </c>
      <c r="BD329">
        <v>16.989000000000001</v>
      </c>
    </row>
    <row r="330" spans="1:56">
      <c r="A330" s="17">
        <v>45710</v>
      </c>
      <c r="B330" s="10">
        <v>32.983699999999999</v>
      </c>
      <c r="C330">
        <v>17.4818</v>
      </c>
      <c r="D330">
        <v>64.277199999999993</v>
      </c>
      <c r="E330">
        <v>11.441599999999999</v>
      </c>
      <c r="G330">
        <v>17.706399999999999</v>
      </c>
      <c r="J330">
        <v>39.881999999999998</v>
      </c>
      <c r="K330" s="10">
        <v>14.813000000000001</v>
      </c>
      <c r="L330" s="10">
        <v>15.6435</v>
      </c>
      <c r="M330" s="10"/>
      <c r="N330" s="10">
        <v>9.7524999999999995</v>
      </c>
      <c r="O330" s="10">
        <v>18.033799999999999</v>
      </c>
      <c r="P330" s="10">
        <v>29.139399999999998</v>
      </c>
      <c r="Q330" s="10">
        <v>21.784600000000001</v>
      </c>
      <c r="R330" s="10"/>
      <c r="S330" s="10">
        <v>67.892600000000002</v>
      </c>
      <c r="T330" s="10">
        <v>20.581600000000002</v>
      </c>
      <c r="U330" s="10"/>
      <c r="V330" s="10">
        <v>14.412000000000001</v>
      </c>
      <c r="W330" s="10"/>
      <c r="X330" s="10">
        <v>11.0098</v>
      </c>
      <c r="Y330" s="10"/>
      <c r="Z330" s="10"/>
      <c r="AA330" s="10">
        <v>26.4285</v>
      </c>
      <c r="AB330" s="10"/>
      <c r="AC330" s="10">
        <v>14.5137</v>
      </c>
      <c r="AD330" s="10">
        <v>10.273</v>
      </c>
      <c r="AE330" s="10">
        <v>12.2447</v>
      </c>
      <c r="AF330" s="10">
        <v>12.961600000000001</v>
      </c>
      <c r="AG330" s="10">
        <v>9.2037999999999993</v>
      </c>
      <c r="AH330" s="10">
        <v>11.5486</v>
      </c>
      <c r="AI330" s="10">
        <v>13.3621</v>
      </c>
      <c r="AJ330" s="10">
        <v>21.0688</v>
      </c>
      <c r="AK330" s="10">
        <v>27.353999999999999</v>
      </c>
      <c r="AL330" s="10">
        <v>13.882400000000001</v>
      </c>
      <c r="AM330" s="10">
        <v>12.9064</v>
      </c>
      <c r="AN330" s="10"/>
      <c r="AO330" s="10">
        <v>5.2927</v>
      </c>
      <c r="AP330" s="10">
        <v>7.1927000000000003</v>
      </c>
      <c r="AS330">
        <v>18.283100000000001</v>
      </c>
      <c r="AU330">
        <v>16.512499999999999</v>
      </c>
      <c r="AY330">
        <v>14.535399999999999</v>
      </c>
      <c r="BA330">
        <v>28.064699999999998</v>
      </c>
      <c r="BB330">
        <v>19.149699999999999</v>
      </c>
      <c r="BD330">
        <v>16.895199999999999</v>
      </c>
    </row>
    <row r="331" spans="1:56">
      <c r="A331" s="17">
        <v>45717</v>
      </c>
      <c r="B331" s="10">
        <v>31.918800000000001</v>
      </c>
      <c r="C331">
        <v>16.5486</v>
      </c>
      <c r="D331">
        <v>62.262</v>
      </c>
      <c r="E331">
        <v>11.361499999999999</v>
      </c>
      <c r="G331">
        <v>17.5748</v>
      </c>
      <c r="J331">
        <v>38.867100000000001</v>
      </c>
      <c r="K331" s="10">
        <v>14.231299999999999</v>
      </c>
      <c r="L331" s="44">
        <v>14.705399999999999</v>
      </c>
      <c r="M331" s="44"/>
      <c r="N331" s="10">
        <v>9.9781999999999993</v>
      </c>
      <c r="O331" s="10">
        <v>17.928599999999999</v>
      </c>
      <c r="P331" s="10">
        <v>28.189399999999999</v>
      </c>
      <c r="Q331" s="10">
        <v>21.256499999999999</v>
      </c>
      <c r="R331" s="10"/>
      <c r="S331" s="10">
        <v>65.741600000000005</v>
      </c>
      <c r="T331" s="10">
        <v>20.427700000000002</v>
      </c>
      <c r="U331" s="10"/>
      <c r="V331" s="10">
        <v>14.1774</v>
      </c>
      <c r="W331" s="10"/>
      <c r="X331" s="10">
        <v>10.6678</v>
      </c>
      <c r="Y331" s="10"/>
      <c r="Z331" s="10"/>
      <c r="AA331" s="10">
        <v>24.7118</v>
      </c>
      <c r="AB331" s="10"/>
      <c r="AC331" s="10">
        <v>14.0497</v>
      </c>
      <c r="AD331" s="10">
        <v>9.8043999999999993</v>
      </c>
      <c r="AE331" s="10">
        <v>12.1228</v>
      </c>
      <c r="AF331" s="10">
        <v>13.1549</v>
      </c>
      <c r="AG331" s="10">
        <v>9.3397000000000006</v>
      </c>
      <c r="AH331" s="10">
        <v>11.3621</v>
      </c>
      <c r="AI331" s="10">
        <v>12.7859</v>
      </c>
      <c r="AJ331" s="10">
        <v>20.6066</v>
      </c>
      <c r="AK331" s="10">
        <v>27.0548</v>
      </c>
      <c r="AL331" s="10">
        <v>13.400499999999999</v>
      </c>
      <c r="AM331" s="10">
        <v>12.6045</v>
      </c>
      <c r="AN331" s="10"/>
      <c r="AO331" s="10">
        <v>5.3703000000000003</v>
      </c>
      <c r="AP331" s="10">
        <v>6.9644000000000004</v>
      </c>
      <c r="AS331">
        <v>18.001799999999999</v>
      </c>
      <c r="AU331">
        <v>16.212</v>
      </c>
      <c r="AY331">
        <v>13.7464</v>
      </c>
      <c r="BA331">
        <v>26.9558</v>
      </c>
      <c r="BB331">
        <v>18.395600000000002</v>
      </c>
      <c r="BD331">
        <v>17.109100000000002</v>
      </c>
    </row>
    <row r="332" spans="1:56">
      <c r="A332" s="17">
        <v>45724</v>
      </c>
      <c r="B332" s="10">
        <v>31.708300000000001</v>
      </c>
      <c r="C332">
        <v>15.9321</v>
      </c>
      <c r="D332">
        <v>61.866</v>
      </c>
      <c r="E332">
        <v>11.338200000000001</v>
      </c>
      <c r="G332">
        <v>17.497599999999998</v>
      </c>
      <c r="J332">
        <v>38.572899999999997</v>
      </c>
      <c r="K332" s="10">
        <v>14.1882</v>
      </c>
      <c r="L332" s="10">
        <v>14.190300000000001</v>
      </c>
      <c r="M332" s="10"/>
      <c r="N332" s="10">
        <v>10.065899999999999</v>
      </c>
      <c r="O332" s="10">
        <v>17.920500000000001</v>
      </c>
      <c r="P332" s="10">
        <v>27.919899999999998</v>
      </c>
      <c r="Q332" s="10">
        <v>21.108499999999999</v>
      </c>
      <c r="R332" s="10"/>
      <c r="S332" s="10">
        <v>65.098799999999997</v>
      </c>
      <c r="T332" s="10">
        <v>20.470700000000001</v>
      </c>
      <c r="U332" s="10"/>
      <c r="V332" s="10">
        <v>14.858000000000001</v>
      </c>
      <c r="W332" s="10"/>
      <c r="X332" s="10">
        <v>10.5495</v>
      </c>
      <c r="Y332" s="10"/>
      <c r="Z332" s="10"/>
      <c r="AA332" s="10">
        <v>23.722000000000001</v>
      </c>
      <c r="AB332" s="10"/>
      <c r="AC332" s="10">
        <v>13.9222</v>
      </c>
      <c r="AD332" s="10">
        <v>9.3897999999999993</v>
      </c>
      <c r="AE332" s="10">
        <v>12.0101</v>
      </c>
      <c r="AF332" s="10">
        <v>13.2538</v>
      </c>
      <c r="AG332" s="10">
        <v>9.4114000000000004</v>
      </c>
      <c r="AH332" s="10">
        <v>11.418900000000001</v>
      </c>
      <c r="AI332" s="10">
        <v>12.763500000000001</v>
      </c>
      <c r="AJ332" s="10">
        <v>20.944800000000001</v>
      </c>
      <c r="AK332" s="10">
        <v>27.019300000000001</v>
      </c>
      <c r="AL332" s="10">
        <v>13.231400000000001</v>
      </c>
      <c r="AM332" s="10">
        <v>12.4956</v>
      </c>
      <c r="AN332" s="10"/>
      <c r="AO332" s="10">
        <v>5.5510999999999999</v>
      </c>
      <c r="AP332" s="10">
        <v>6.8205</v>
      </c>
      <c r="AS332">
        <v>17.786000000000001</v>
      </c>
      <c r="AU332">
        <v>16.399999999999999</v>
      </c>
      <c r="AY332">
        <v>13.360900000000001</v>
      </c>
      <c r="BA332">
        <v>26.374600000000001</v>
      </c>
      <c r="BB332">
        <v>18.005700000000001</v>
      </c>
      <c r="BD332">
        <v>17.1082</v>
      </c>
    </row>
    <row r="333" spans="1:56">
      <c r="A333" s="17">
        <v>45731</v>
      </c>
      <c r="B333" s="10">
        <v>30.8935</v>
      </c>
      <c r="C333">
        <v>15.2607</v>
      </c>
      <c r="D333">
        <v>60.278300000000002</v>
      </c>
      <c r="E333">
        <v>11.0509</v>
      </c>
      <c r="G333">
        <v>17.016300000000001</v>
      </c>
      <c r="J333">
        <v>37.834299999999999</v>
      </c>
      <c r="K333" s="10">
        <v>13.894600000000001</v>
      </c>
      <c r="L333" s="10">
        <v>13.5578</v>
      </c>
      <c r="M333" s="10">
        <v>18.971800000000002</v>
      </c>
      <c r="N333" s="10">
        <v>9.7850999999999999</v>
      </c>
      <c r="O333" s="10">
        <v>17.239799999999999</v>
      </c>
      <c r="P333" s="10">
        <v>27.3659</v>
      </c>
      <c r="Q333" s="10">
        <v>20.792200000000001</v>
      </c>
      <c r="R333" s="10"/>
      <c r="S333" s="10">
        <v>63.7102</v>
      </c>
      <c r="T333" s="10">
        <v>20.990100000000002</v>
      </c>
      <c r="U333" s="10"/>
      <c r="V333" s="10">
        <v>14.8231</v>
      </c>
      <c r="W333" s="10"/>
      <c r="X333" s="10">
        <v>10.2296</v>
      </c>
      <c r="Y333" s="10"/>
      <c r="Z333" s="10"/>
      <c r="AA333" s="10">
        <v>22.783799999999999</v>
      </c>
      <c r="AB333" s="10"/>
      <c r="AC333" s="10">
        <v>13.5144</v>
      </c>
      <c r="AD333" s="10">
        <v>8.9484999999999992</v>
      </c>
      <c r="AE333" s="10">
        <v>11.526999999999999</v>
      </c>
      <c r="AF333" s="10">
        <v>13.090199999999999</v>
      </c>
      <c r="AG333" s="10">
        <v>9.2995999999999999</v>
      </c>
      <c r="AH333" s="10">
        <v>11.777699999999999</v>
      </c>
      <c r="AI333" s="10">
        <v>12.436</v>
      </c>
      <c r="AJ333" s="10">
        <v>21.467300000000002</v>
      </c>
      <c r="AK333" s="10">
        <v>26.792899999999999</v>
      </c>
      <c r="AL333" s="10">
        <v>12.8811</v>
      </c>
      <c r="AM333" s="10">
        <v>12.2683</v>
      </c>
      <c r="AN333" s="10"/>
      <c r="AO333" s="10">
        <v>5.3773999999999997</v>
      </c>
      <c r="AP333" s="10">
        <v>6.4425999999999997</v>
      </c>
      <c r="AS333">
        <v>17.588100000000001</v>
      </c>
      <c r="AU333">
        <v>16.8123</v>
      </c>
      <c r="AY333">
        <v>12.855399999999999</v>
      </c>
      <c r="AZ333">
        <v>14.4267</v>
      </c>
      <c r="BA333">
        <v>25.395700000000001</v>
      </c>
      <c r="BB333">
        <v>17.341100000000001</v>
      </c>
      <c r="BD333">
        <v>16.665400000000002</v>
      </c>
    </row>
    <row r="334" spans="1:56">
      <c r="A334" s="17">
        <v>45738</v>
      </c>
      <c r="B334" s="10">
        <v>31.084399999999999</v>
      </c>
      <c r="C334">
        <v>15.6325</v>
      </c>
      <c r="D334">
        <v>60.661900000000003</v>
      </c>
      <c r="E334">
        <v>11.266299999999999</v>
      </c>
      <c r="G334">
        <v>17.286999999999999</v>
      </c>
      <c r="J334">
        <v>38.07</v>
      </c>
      <c r="K334" s="10">
        <v>14.0922</v>
      </c>
      <c r="L334" s="10">
        <v>13.9481</v>
      </c>
      <c r="M334" s="10">
        <v>19.245100000000001</v>
      </c>
      <c r="N334" s="10">
        <v>10.042400000000001</v>
      </c>
      <c r="O334" s="10">
        <v>17.366199999999999</v>
      </c>
      <c r="P334" s="10">
        <v>27.687100000000001</v>
      </c>
      <c r="Q334" s="10">
        <v>20.967500000000001</v>
      </c>
      <c r="R334" s="10"/>
      <c r="S334" s="10">
        <v>64.519499999999994</v>
      </c>
      <c r="T334" s="10">
        <v>21.444299999999998</v>
      </c>
      <c r="U334" s="10"/>
      <c r="V334" s="10">
        <v>14.650499999999999</v>
      </c>
      <c r="W334" s="10"/>
      <c r="X334" s="10">
        <v>10.394</v>
      </c>
      <c r="Y334" s="10"/>
      <c r="Z334" s="10"/>
      <c r="AA334" s="10">
        <v>23.289300000000001</v>
      </c>
      <c r="AB334" s="10"/>
      <c r="AC334" s="10">
        <v>13.859500000000001</v>
      </c>
      <c r="AD334" s="10">
        <v>9.2119999999999997</v>
      </c>
      <c r="AE334" s="10">
        <v>11.6189</v>
      </c>
      <c r="AF334" s="10">
        <v>13.0419</v>
      </c>
      <c r="AG334" s="10">
        <v>9.2597000000000005</v>
      </c>
      <c r="AH334" s="10">
        <v>11.479900000000001</v>
      </c>
      <c r="AI334" s="10">
        <v>12.173299999999999</v>
      </c>
      <c r="AJ334" s="10">
        <v>21.779</v>
      </c>
      <c r="AK334" s="10">
        <v>26.853100000000001</v>
      </c>
      <c r="AL334" s="10">
        <v>13.090299999999999</v>
      </c>
      <c r="AM334" s="10">
        <v>12.0463</v>
      </c>
      <c r="AN334" s="10"/>
      <c r="AO334" s="10">
        <v>5.5185000000000004</v>
      </c>
      <c r="AP334" s="10">
        <v>6.5186000000000002</v>
      </c>
      <c r="AS334">
        <v>17.716899999999999</v>
      </c>
      <c r="AU334">
        <v>17.107700000000001</v>
      </c>
      <c r="AY334">
        <v>13.256600000000001</v>
      </c>
      <c r="AZ334">
        <v>14.6464</v>
      </c>
      <c r="BA334">
        <v>26.0242</v>
      </c>
      <c r="BB334">
        <v>17.770099999999999</v>
      </c>
      <c r="BD334">
        <v>17.034300000000002</v>
      </c>
    </row>
    <row r="335" spans="1:56">
      <c r="A335" s="17">
        <v>45745</v>
      </c>
      <c r="B335" s="10">
        <v>30.831800000000001</v>
      </c>
      <c r="C335">
        <v>15.885999999999999</v>
      </c>
      <c r="D335">
        <v>60.184199999999997</v>
      </c>
      <c r="E335">
        <v>11.224</v>
      </c>
      <c r="G335">
        <v>17.351099999999999</v>
      </c>
      <c r="J335">
        <v>37.745399999999997</v>
      </c>
      <c r="K335" s="10">
        <v>14.072900000000001</v>
      </c>
      <c r="L335" s="10">
        <v>13.9444</v>
      </c>
      <c r="M335" s="10">
        <v>19.248799999999999</v>
      </c>
      <c r="N335" s="10">
        <v>9.8896999999999995</v>
      </c>
      <c r="O335" s="10">
        <v>17.0396</v>
      </c>
      <c r="P335" s="10">
        <v>27.727599999999999</v>
      </c>
      <c r="Q335" s="10">
        <v>20.996200000000002</v>
      </c>
      <c r="R335" s="10"/>
      <c r="S335" s="10">
        <v>64.644999999999996</v>
      </c>
      <c r="T335" s="10">
        <v>21.4772</v>
      </c>
      <c r="U335" s="10"/>
      <c r="V335" s="10">
        <v>14.569699999999999</v>
      </c>
      <c r="W335" s="10"/>
      <c r="X335" s="10">
        <v>10.3969</v>
      </c>
      <c r="Y335" s="10"/>
      <c r="Z335" s="10"/>
      <c r="AA335" s="10">
        <v>23.559899999999999</v>
      </c>
      <c r="AB335" s="10"/>
      <c r="AC335" s="10">
        <v>13.888999999999999</v>
      </c>
      <c r="AD335" s="10">
        <v>9.4057999999999993</v>
      </c>
      <c r="AE335" s="10">
        <v>11.401199999999999</v>
      </c>
      <c r="AF335" s="10">
        <v>13.0588</v>
      </c>
      <c r="AG335" s="10">
        <v>9.2753999999999994</v>
      </c>
      <c r="AH335" s="10">
        <v>11.569000000000001</v>
      </c>
      <c r="AI335" s="10">
        <v>11.8636</v>
      </c>
      <c r="AJ335" s="10">
        <v>21.784600000000001</v>
      </c>
      <c r="AK335" s="10">
        <v>26.765799999999999</v>
      </c>
      <c r="AL335" s="10">
        <v>13.071199999999999</v>
      </c>
      <c r="AM335" s="10">
        <v>12.394399999999999</v>
      </c>
      <c r="AN335" s="10"/>
      <c r="AO335" s="10">
        <v>5.3501000000000003</v>
      </c>
      <c r="AP335" s="10">
        <v>6.6741000000000001</v>
      </c>
      <c r="AS335">
        <v>17.7271</v>
      </c>
      <c r="AU335">
        <v>17.349799999999998</v>
      </c>
      <c r="AY335">
        <v>13.1538</v>
      </c>
      <c r="AZ335">
        <v>14.8353</v>
      </c>
      <c r="BA335">
        <v>26.135100000000001</v>
      </c>
      <c r="BB335">
        <v>17.848199999999999</v>
      </c>
      <c r="BD335">
        <v>16.844899999999999</v>
      </c>
    </row>
    <row r="336" spans="1:56">
      <c r="A336" s="17">
        <v>45752</v>
      </c>
      <c r="B336" s="10">
        <v>29.537600000000001</v>
      </c>
      <c r="C336">
        <v>15.409800000000001</v>
      </c>
      <c r="D336">
        <v>57.675600000000003</v>
      </c>
      <c r="E336">
        <v>10.878500000000001</v>
      </c>
      <c r="G336">
        <v>17.254999999999999</v>
      </c>
      <c r="J336">
        <v>36.471299999999999</v>
      </c>
      <c r="K336" s="10">
        <v>13.4057</v>
      </c>
      <c r="L336" s="10">
        <v>12.707000000000001</v>
      </c>
      <c r="M336" s="10">
        <v>19.5227</v>
      </c>
      <c r="N336" s="10">
        <v>9.4610000000000003</v>
      </c>
      <c r="O336" s="10">
        <v>16.263500000000001</v>
      </c>
      <c r="P336" s="10">
        <v>26.352900000000002</v>
      </c>
      <c r="Q336" s="10">
        <v>20.181999999999999</v>
      </c>
      <c r="R336" s="10"/>
      <c r="S336" s="10">
        <v>61.509500000000003</v>
      </c>
      <c r="T336" s="10">
        <v>21.959</v>
      </c>
      <c r="U336" s="10"/>
      <c r="V336" s="10">
        <v>14.1816</v>
      </c>
      <c r="W336" s="10"/>
      <c r="X336" s="10">
        <v>10.2263</v>
      </c>
      <c r="Y336" s="10"/>
      <c r="Z336" s="10"/>
      <c r="AA336" s="10">
        <v>21.986000000000001</v>
      </c>
      <c r="AB336" s="10"/>
      <c r="AC336" s="10">
        <v>13.255800000000001</v>
      </c>
      <c r="AD336" s="10">
        <v>8.7673000000000005</v>
      </c>
      <c r="AE336" s="10">
        <v>10.779</v>
      </c>
      <c r="AF336" s="10">
        <v>11.848000000000001</v>
      </c>
      <c r="AG336" s="10">
        <v>8.4433000000000007</v>
      </c>
      <c r="AH336" s="10">
        <v>11.3902</v>
      </c>
      <c r="AI336" s="10">
        <v>10.953099999999999</v>
      </c>
      <c r="AJ336" s="10">
        <v>22.103400000000001</v>
      </c>
      <c r="AK336" s="10">
        <v>26.353000000000002</v>
      </c>
      <c r="AL336" s="10">
        <v>12.473000000000001</v>
      </c>
      <c r="AM336" s="10">
        <v>11.998699999999999</v>
      </c>
      <c r="AN336" s="10"/>
      <c r="AO336" s="10">
        <v>5.1584000000000003</v>
      </c>
      <c r="AP336" s="10">
        <v>6.4650999999999996</v>
      </c>
      <c r="AS336">
        <v>16.761900000000001</v>
      </c>
      <c r="AU336">
        <v>17.4437</v>
      </c>
      <c r="AY336">
        <v>12.371700000000001</v>
      </c>
      <c r="AZ336">
        <v>14.8765</v>
      </c>
      <c r="BA336">
        <v>24.810700000000001</v>
      </c>
      <c r="BB336">
        <v>16.950700000000001</v>
      </c>
      <c r="BD336">
        <v>16.1662</v>
      </c>
    </row>
    <row r="337" spans="1:56">
      <c r="A337" s="17">
        <v>45759</v>
      </c>
      <c r="B337" s="10">
        <v>29.3262</v>
      </c>
      <c r="C337">
        <v>14.940899999999999</v>
      </c>
      <c r="D337">
        <v>57.286099999999998</v>
      </c>
      <c r="E337">
        <v>10.600300000000001</v>
      </c>
      <c r="G337">
        <v>16.5974</v>
      </c>
      <c r="J337">
        <v>35.999699999999997</v>
      </c>
      <c r="K337" s="10">
        <v>13.3256</v>
      </c>
      <c r="L337" s="10">
        <v>12.4389</v>
      </c>
      <c r="M337" s="10">
        <v>20.233000000000001</v>
      </c>
      <c r="N337" s="10">
        <v>8.7644000000000002</v>
      </c>
      <c r="O337" s="10">
        <v>15.509499999999999</v>
      </c>
      <c r="P337" s="10">
        <v>26.3506</v>
      </c>
      <c r="Q337" s="10">
        <v>20.1645</v>
      </c>
      <c r="R337" s="10"/>
      <c r="S337" s="10">
        <v>61.302900000000001</v>
      </c>
      <c r="T337" s="10">
        <v>22.429400000000001</v>
      </c>
      <c r="U337" s="10"/>
      <c r="V337" s="10">
        <v>13.0105</v>
      </c>
      <c r="W337" s="10"/>
      <c r="X337" s="10">
        <v>9.7934000000000001</v>
      </c>
      <c r="Y337" s="10"/>
      <c r="Z337" s="10"/>
      <c r="AA337" s="10">
        <v>21.736699999999999</v>
      </c>
      <c r="AB337" s="10"/>
      <c r="AC337" s="10">
        <v>12.8095</v>
      </c>
      <c r="AD337" s="10">
        <v>8.6117000000000008</v>
      </c>
      <c r="AE337" s="10">
        <v>10.287100000000001</v>
      </c>
      <c r="AF337" s="10">
        <v>11.7483</v>
      </c>
      <c r="AG337" s="10">
        <v>8.3762000000000008</v>
      </c>
      <c r="AH337" s="10">
        <v>11.096399999999999</v>
      </c>
      <c r="AI337" s="10">
        <v>10.571199999999999</v>
      </c>
      <c r="AJ337" s="10">
        <v>22.913799999999998</v>
      </c>
      <c r="AK337" s="10">
        <v>26.2913</v>
      </c>
      <c r="AL337" s="10">
        <v>12.464399999999999</v>
      </c>
      <c r="AM337" s="10">
        <v>11.991400000000001</v>
      </c>
      <c r="AN337" s="10"/>
      <c r="AO337" s="10">
        <v>4.6936999999999998</v>
      </c>
      <c r="AP337" s="10">
        <v>6.2756999999999996</v>
      </c>
      <c r="AS337">
        <v>16.868200000000002</v>
      </c>
      <c r="AU337">
        <v>17.960599999999999</v>
      </c>
      <c r="AY337">
        <v>12.260999999999999</v>
      </c>
      <c r="AZ337">
        <v>15.4566</v>
      </c>
      <c r="BA337">
        <v>24.183800000000002</v>
      </c>
      <c r="BB337">
        <v>16.518899999999999</v>
      </c>
      <c r="BD337">
        <v>15.0876</v>
      </c>
    </row>
    <row r="338" spans="1:56">
      <c r="A338" s="17">
        <v>45766</v>
      </c>
      <c r="B338" s="10">
        <v>30.141500000000001</v>
      </c>
      <c r="C338">
        <v>14.593500000000001</v>
      </c>
      <c r="D338">
        <v>58.827500000000001</v>
      </c>
      <c r="E338">
        <v>10.589499999999999</v>
      </c>
      <c r="G338">
        <v>16.557099999999998</v>
      </c>
      <c r="J338">
        <v>37.049900000000001</v>
      </c>
      <c r="K338" s="10">
        <v>13.6944</v>
      </c>
      <c r="L338" s="10">
        <v>12.4353</v>
      </c>
      <c r="M338" s="10">
        <v>20.934799999999999</v>
      </c>
      <c r="N338" s="10">
        <v>8.9809000000000001</v>
      </c>
      <c r="O338" s="10">
        <v>15.499599999999999</v>
      </c>
      <c r="P338" s="10">
        <v>26.709099999999999</v>
      </c>
      <c r="Q338" s="10">
        <v>20.3749</v>
      </c>
      <c r="R338" s="10"/>
      <c r="S338" s="10">
        <v>62.323399999999999</v>
      </c>
      <c r="T338" s="10">
        <v>23.068899999999999</v>
      </c>
      <c r="U338" s="10">
        <v>23.344899999999999</v>
      </c>
      <c r="V338" s="10">
        <v>13.04</v>
      </c>
      <c r="W338" s="10"/>
      <c r="X338" s="10">
        <v>9.48</v>
      </c>
      <c r="Y338" s="10"/>
      <c r="Z338" s="10"/>
      <c r="AA338" s="10">
        <v>21.565300000000001</v>
      </c>
      <c r="AB338" s="10"/>
      <c r="AC338" s="10">
        <v>13.0138</v>
      </c>
      <c r="AD338" s="10">
        <v>8.4854000000000003</v>
      </c>
      <c r="AE338" s="10">
        <v>10.2722</v>
      </c>
      <c r="AF338" s="10">
        <v>11.4976</v>
      </c>
      <c r="AG338" s="10">
        <v>8.2060999999999993</v>
      </c>
      <c r="AH338" s="10">
        <v>11.2224</v>
      </c>
      <c r="AI338" s="10">
        <v>11.278700000000001</v>
      </c>
      <c r="AJ338" s="10">
        <v>23.7103</v>
      </c>
      <c r="AK338" s="10">
        <v>26.5596</v>
      </c>
      <c r="AM338" s="10">
        <v>11.3592</v>
      </c>
      <c r="AN338" s="10"/>
      <c r="AO338" s="10">
        <v>4.7394999999999996</v>
      </c>
      <c r="AP338" s="10">
        <v>5.9951999999999996</v>
      </c>
      <c r="AS338">
        <v>17.168500000000002</v>
      </c>
      <c r="AU338">
        <v>18.536799999999999</v>
      </c>
      <c r="AY338">
        <v>12.286300000000001</v>
      </c>
      <c r="AZ338">
        <v>16.0154</v>
      </c>
      <c r="BA338">
        <v>24.217500000000001</v>
      </c>
      <c r="BB338">
        <v>16.5474</v>
      </c>
      <c r="BD338">
        <v>15.657400000000001</v>
      </c>
    </row>
    <row r="339" spans="1:56">
      <c r="A339" s="17">
        <v>45773</v>
      </c>
      <c r="B339" s="10">
        <v>30.165600000000001</v>
      </c>
      <c r="C339">
        <v>14.9345</v>
      </c>
      <c r="D339">
        <v>58.881</v>
      </c>
      <c r="E339">
        <v>10.7714</v>
      </c>
      <c r="G339">
        <v>16.7468</v>
      </c>
      <c r="J339">
        <v>36.974800000000002</v>
      </c>
      <c r="K339" s="10">
        <v>13.677899999999999</v>
      </c>
      <c r="L339" s="10">
        <v>13.090299999999999</v>
      </c>
      <c r="M339" s="10">
        <v>20.758400000000002</v>
      </c>
      <c r="N339" s="10">
        <v>9.0342000000000002</v>
      </c>
      <c r="O339" s="10">
        <v>15.8629</v>
      </c>
      <c r="P339" s="10">
        <v>26.660699999999999</v>
      </c>
      <c r="Q339" s="10">
        <v>20.3475</v>
      </c>
      <c r="R339" s="10"/>
      <c r="S339" s="10">
        <v>62.193199999999997</v>
      </c>
      <c r="T339" s="10">
        <v>22.972899999999999</v>
      </c>
      <c r="U339" s="10">
        <v>24.510100000000001</v>
      </c>
      <c r="V339" s="10">
        <v>13.5092</v>
      </c>
      <c r="W339" s="10"/>
      <c r="X339" s="10">
        <v>9.5500000000000007</v>
      </c>
      <c r="Y339" s="10"/>
      <c r="Z339" s="10"/>
      <c r="AA339" s="10">
        <v>22.638000000000002</v>
      </c>
      <c r="AB339" s="10"/>
      <c r="AC339" s="10">
        <v>13.477600000000001</v>
      </c>
      <c r="AD339" s="10">
        <v>8.7024000000000008</v>
      </c>
      <c r="AE339" s="10">
        <v>10.485300000000001</v>
      </c>
      <c r="AF339" s="10">
        <v>11.7263</v>
      </c>
      <c r="AG339" s="10">
        <v>8.3572000000000006</v>
      </c>
      <c r="AH339" s="10">
        <v>11.3239</v>
      </c>
      <c r="AI339" s="10">
        <v>11.362399999999999</v>
      </c>
      <c r="AJ339" s="10">
        <v>23.512</v>
      </c>
      <c r="AK339" s="10">
        <v>26.610299999999999</v>
      </c>
      <c r="AM339" s="10">
        <v>11.365500000000001</v>
      </c>
      <c r="AN339" s="10"/>
      <c r="AO339" s="10">
        <v>4.8665000000000003</v>
      </c>
      <c r="AP339" s="10">
        <v>6.0757000000000003</v>
      </c>
      <c r="AS339">
        <v>17.229199999999999</v>
      </c>
      <c r="AU339">
        <v>18.436599999999999</v>
      </c>
      <c r="AY339">
        <v>13.0345</v>
      </c>
      <c r="AZ339">
        <v>15.880599999999999</v>
      </c>
      <c r="BA339">
        <v>25.087299999999999</v>
      </c>
      <c r="BB339">
        <v>17.160399999999999</v>
      </c>
      <c r="BD339">
        <v>16.1068</v>
      </c>
    </row>
    <row r="340" spans="1:56">
      <c r="A340" s="17">
        <v>45780</v>
      </c>
      <c r="B340" s="10">
        <v>30.645700000000001</v>
      </c>
      <c r="C340">
        <v>15.281000000000001</v>
      </c>
      <c r="D340">
        <v>59.834400000000002</v>
      </c>
      <c r="E340">
        <v>10.9795</v>
      </c>
      <c r="G340">
        <v>16.823399999999999</v>
      </c>
      <c r="J340">
        <v>37.345799999999997</v>
      </c>
      <c r="K340" s="10">
        <v>13.910500000000001</v>
      </c>
      <c r="L340" s="10">
        <v>13.139099999999999</v>
      </c>
      <c r="M340" s="10">
        <v>20.4678</v>
      </c>
      <c r="N340" s="10">
        <v>9.2236999999999991</v>
      </c>
      <c r="O340" s="10">
        <v>16.273299999999999</v>
      </c>
      <c r="P340" s="10">
        <v>27.4588</v>
      </c>
      <c r="Q340" s="10">
        <v>20.802</v>
      </c>
      <c r="R340" s="10"/>
      <c r="S340" s="10">
        <v>63.745899999999999</v>
      </c>
      <c r="T340" s="10">
        <v>22.408999999999999</v>
      </c>
      <c r="U340" s="10">
        <v>25.303899999999999</v>
      </c>
      <c r="V340" s="10">
        <v>13.6974</v>
      </c>
      <c r="W340" s="10">
        <v>10.2189</v>
      </c>
      <c r="X340" s="10">
        <v>9.6207999999999991</v>
      </c>
      <c r="Y340" s="10"/>
      <c r="Z340" s="10"/>
      <c r="AA340" s="10">
        <v>23.027999999999999</v>
      </c>
      <c r="AB340" s="10"/>
      <c r="AC340" s="10">
        <v>13.635199999999999</v>
      </c>
      <c r="AD340" s="10">
        <v>9.0623000000000005</v>
      </c>
      <c r="AE340" s="10">
        <v>10.7752</v>
      </c>
      <c r="AF340" s="10">
        <v>11.6776</v>
      </c>
      <c r="AG340" s="10">
        <v>8.3203999999999994</v>
      </c>
      <c r="AH340" s="10">
        <v>11.18</v>
      </c>
      <c r="AI340" s="10">
        <v>11.022500000000001</v>
      </c>
      <c r="AJ340" s="10">
        <v>23.191500000000001</v>
      </c>
      <c r="AK340" s="10">
        <v>26.834</v>
      </c>
      <c r="AM340" s="10">
        <v>11.601800000000001</v>
      </c>
      <c r="AN340" s="10"/>
      <c r="AO340" s="10">
        <v>4.9169</v>
      </c>
      <c r="AP340" s="10">
        <v>6.3551000000000002</v>
      </c>
      <c r="AS340">
        <v>17.784099999999999</v>
      </c>
      <c r="AU340">
        <v>18.082899999999999</v>
      </c>
      <c r="AY340">
        <v>13.2875</v>
      </c>
      <c r="AZ340">
        <v>15.661099999999999</v>
      </c>
      <c r="BA340">
        <v>25.4529</v>
      </c>
      <c r="BB340">
        <v>17.409800000000001</v>
      </c>
      <c r="BD340">
        <v>16.375599999999999</v>
      </c>
    </row>
    <row r="341" spans="1:56">
      <c r="A341" s="17">
        <v>45787</v>
      </c>
      <c r="B341" s="10">
        <v>30.934000000000001</v>
      </c>
      <c r="C341">
        <v>15.5007</v>
      </c>
      <c r="D341">
        <v>60.376399999999997</v>
      </c>
      <c r="E341">
        <v>11.0329</v>
      </c>
      <c r="G341">
        <v>17.383099999999999</v>
      </c>
      <c r="L341" s="10">
        <v>14.0715</v>
      </c>
      <c r="M341" s="10">
        <v>20.857299999999999</v>
      </c>
      <c r="N341" s="10">
        <v>9.5192999999999994</v>
      </c>
      <c r="Q341" s="10">
        <v>20.947099999999999</v>
      </c>
      <c r="R341" s="10"/>
      <c r="S341" s="10">
        <v>64.242999999999995</v>
      </c>
      <c r="T341" s="10">
        <v>22.8</v>
      </c>
      <c r="U341" s="10">
        <v>25.496700000000001</v>
      </c>
      <c r="V341" s="10">
        <v>13.687799999999999</v>
      </c>
      <c r="W341" s="10">
        <v>10.55</v>
      </c>
      <c r="X341" s="10">
        <v>9.6958000000000002</v>
      </c>
      <c r="Y341" s="10"/>
      <c r="Z341" s="10"/>
      <c r="AA341" s="10">
        <v>23.5426</v>
      </c>
      <c r="AB341" s="10"/>
      <c r="AC341" s="10">
        <v>13.8345</v>
      </c>
      <c r="AD341" s="10">
        <v>9.5573999999999995</v>
      </c>
      <c r="AG341" s="10">
        <v>8.4232999999999993</v>
      </c>
      <c r="AH341" s="10">
        <v>11.4499</v>
      </c>
      <c r="AI341" s="10">
        <v>10.7803</v>
      </c>
      <c r="AJ341" s="10">
        <v>23.639199999999999</v>
      </c>
      <c r="AK341" s="10">
        <v>26.956900000000001</v>
      </c>
      <c r="AM341" s="10">
        <v>11.7133</v>
      </c>
      <c r="AN341" s="10"/>
      <c r="AO341" s="10">
        <v>5.0476000000000001</v>
      </c>
      <c r="AP341" s="10">
        <v>6.5353000000000003</v>
      </c>
      <c r="AU341">
        <v>18.412099999999999</v>
      </c>
      <c r="AZ341">
        <v>15.960800000000001</v>
      </c>
      <c r="BA341">
        <v>25.837299999999999</v>
      </c>
      <c r="BB341">
        <v>17.673999999999999</v>
      </c>
      <c r="BD341">
        <v>16.6142</v>
      </c>
    </row>
    <row r="342" spans="1:56">
      <c r="A342" s="17">
        <v>45794</v>
      </c>
      <c r="B342" s="10">
        <v>30.625499999999999</v>
      </c>
      <c r="C342">
        <v>16.124199999999998</v>
      </c>
      <c r="D342">
        <v>59.773499999999999</v>
      </c>
      <c r="E342">
        <v>11.2379</v>
      </c>
      <c r="G342">
        <v>17.451499999999999</v>
      </c>
      <c r="L342" s="10">
        <v>15.074299999999999</v>
      </c>
      <c r="M342" s="10">
        <v>20.1174</v>
      </c>
      <c r="N342" s="10">
        <v>9.7540999999999993</v>
      </c>
      <c r="Q342" s="10">
        <v>20.750499999999999</v>
      </c>
      <c r="R342" s="10"/>
      <c r="S342" s="10">
        <v>63.585000000000001</v>
      </c>
      <c r="T342" s="10">
        <v>22.139800000000001</v>
      </c>
      <c r="U342" s="10">
        <v>26.822600000000001</v>
      </c>
      <c r="V342" s="10">
        <v>14.132300000000001</v>
      </c>
      <c r="W342" s="10">
        <v>11.349600000000001</v>
      </c>
      <c r="X342" s="10">
        <v>10.102399999999999</v>
      </c>
      <c r="Y342" s="10"/>
      <c r="Z342" s="10"/>
      <c r="AA342" s="10">
        <v>25.007200000000001</v>
      </c>
      <c r="AB342" s="10"/>
      <c r="AC342" s="10">
        <v>14.3521</v>
      </c>
      <c r="AD342" s="10">
        <v>10.0647</v>
      </c>
      <c r="AG342" s="10">
        <v>8.7596000000000007</v>
      </c>
      <c r="AH342" s="10">
        <v>11.623699999999999</v>
      </c>
      <c r="AI342" s="10">
        <v>10.5657</v>
      </c>
      <c r="AJ342" s="10">
        <v>22.802</v>
      </c>
      <c r="AK342" s="10">
        <v>26.7165</v>
      </c>
      <c r="AM342" s="10">
        <v>11.539899999999999</v>
      </c>
      <c r="AN342" s="10"/>
      <c r="AO342" s="10">
        <v>5.1704999999999997</v>
      </c>
      <c r="AP342" s="10">
        <v>6.9752000000000001</v>
      </c>
      <c r="AU342">
        <v>17.801600000000001</v>
      </c>
      <c r="AZ342">
        <v>15.3931</v>
      </c>
      <c r="BA342">
        <v>26.9649</v>
      </c>
      <c r="BB342">
        <v>18.440000000000001</v>
      </c>
      <c r="BD342">
        <v>17.0199</v>
      </c>
    </row>
    <row r="343" spans="1:56">
      <c r="A343" s="17">
        <v>45801</v>
      </c>
      <c r="B343" s="10">
        <v>29.7361</v>
      </c>
      <c r="C343">
        <v>15.992599999999999</v>
      </c>
      <c r="D343">
        <v>58.1023</v>
      </c>
      <c r="E343">
        <v>11.295999999999999</v>
      </c>
      <c r="G343">
        <v>17.5855</v>
      </c>
      <c r="L343" s="10">
        <v>14.900399999999999</v>
      </c>
      <c r="M343" s="10">
        <v>20.882400000000001</v>
      </c>
      <c r="N343" s="10">
        <v>9.7011000000000003</v>
      </c>
      <c r="Q343" s="10">
        <v>20.6037</v>
      </c>
      <c r="R343" s="10"/>
      <c r="S343" s="10">
        <v>62.667099999999998</v>
      </c>
      <c r="T343" s="10">
        <v>22.580100000000002</v>
      </c>
      <c r="U343" s="10">
        <v>26.6449</v>
      </c>
      <c r="V343" s="10">
        <v>13.8834</v>
      </c>
      <c r="W343" s="10">
        <v>12.4747</v>
      </c>
      <c r="X343" s="10">
        <v>10.0655</v>
      </c>
      <c r="Y343" s="10"/>
      <c r="Z343" s="10"/>
      <c r="AA343" s="10">
        <v>24.704599999999999</v>
      </c>
      <c r="AB343" s="10"/>
      <c r="AC343" s="10">
        <v>14.2278</v>
      </c>
      <c r="AD343" s="10">
        <v>9.8792000000000009</v>
      </c>
      <c r="AG343" s="10">
        <v>8.6288999999999998</v>
      </c>
      <c r="AH343" s="10">
        <v>11.6144</v>
      </c>
      <c r="AI343" s="10">
        <v>10.4954</v>
      </c>
      <c r="AJ343" s="10">
        <v>23.674800000000001</v>
      </c>
      <c r="AK343" s="10">
        <v>26.5501</v>
      </c>
      <c r="AM343" s="10">
        <v>11.429600000000001</v>
      </c>
      <c r="AN343" s="10"/>
      <c r="AO343" s="10">
        <v>5.1353999999999997</v>
      </c>
      <c r="AP343" s="10">
        <v>6.8330000000000002</v>
      </c>
      <c r="AU343">
        <v>18.3385</v>
      </c>
      <c r="AZ343">
        <v>15.9925</v>
      </c>
      <c r="BA343">
        <v>26.599599999999999</v>
      </c>
      <c r="BB343">
        <v>18.189699999999998</v>
      </c>
      <c r="BD343">
        <v>17.1554</v>
      </c>
    </row>
    <row r="344" spans="1:56">
      <c r="A344" s="17">
        <v>45808</v>
      </c>
      <c r="B344" s="10">
        <v>29.415199999999999</v>
      </c>
      <c r="C344">
        <v>16.255199999999999</v>
      </c>
      <c r="D344">
        <v>57.506799999999998</v>
      </c>
      <c r="E344">
        <v>11.339600000000001</v>
      </c>
      <c r="G344">
        <v>17.690899999999999</v>
      </c>
      <c r="L344" s="10">
        <v>14.943199999999999</v>
      </c>
      <c r="M344" s="10">
        <v>20.599699999999999</v>
      </c>
      <c r="N344" s="10">
        <v>9.7423999999999999</v>
      </c>
      <c r="Q344" s="10">
        <v>20.272300000000001</v>
      </c>
      <c r="R344" s="10"/>
      <c r="S344" s="10">
        <v>61.258499999999998</v>
      </c>
      <c r="T344" s="10">
        <v>22.438500000000001</v>
      </c>
      <c r="U344" s="10">
        <v>26.3583</v>
      </c>
      <c r="V344" s="10">
        <v>13.5976</v>
      </c>
      <c r="W344" s="10">
        <v>11.8537</v>
      </c>
      <c r="X344" s="10">
        <v>10.031700000000001</v>
      </c>
      <c r="Y344" s="10"/>
      <c r="Z344" s="10"/>
      <c r="AA344" s="10">
        <v>24.975000000000001</v>
      </c>
      <c r="AB344" s="10"/>
      <c r="AC344" s="10">
        <v>14.359500000000001</v>
      </c>
      <c r="AD344" s="10">
        <v>10.041700000000001</v>
      </c>
      <c r="AG344" s="10">
        <v>8.6483000000000008</v>
      </c>
      <c r="AH344" s="10">
        <v>11.4366</v>
      </c>
      <c r="AI344" s="10">
        <v>10.526400000000001</v>
      </c>
      <c r="AJ344" s="10">
        <v>23.354700000000001</v>
      </c>
      <c r="AK344" s="10">
        <v>26.3691</v>
      </c>
      <c r="AM344" s="10">
        <v>11.2225</v>
      </c>
      <c r="AN344" s="10"/>
      <c r="AO344" s="10">
        <v>5.093</v>
      </c>
      <c r="AP344" s="10">
        <v>6.9137000000000004</v>
      </c>
      <c r="AU344">
        <v>18.1188</v>
      </c>
      <c r="AZ344">
        <v>15.7758</v>
      </c>
      <c r="BA344">
        <v>26.885000000000002</v>
      </c>
      <c r="BB344">
        <v>18.385400000000001</v>
      </c>
      <c r="BD344">
        <v>17.085000000000001</v>
      </c>
    </row>
    <row r="345" spans="1:56">
      <c r="A345" s="17">
        <v>45815</v>
      </c>
      <c r="B345" s="10">
        <v>29.1524</v>
      </c>
      <c r="C345">
        <v>16.318000000000001</v>
      </c>
      <c r="D345">
        <v>57.018900000000002</v>
      </c>
      <c r="E345">
        <v>11.4238</v>
      </c>
      <c r="G345">
        <v>17.704799999999999</v>
      </c>
      <c r="L345" s="10">
        <v>15.235900000000001</v>
      </c>
      <c r="M345" s="10">
        <v>20.8751</v>
      </c>
      <c r="N345" s="10">
        <v>9.7421000000000006</v>
      </c>
      <c r="Q345" s="10">
        <v>20.103899999999999</v>
      </c>
      <c r="R345" s="10"/>
      <c r="S345" s="10">
        <v>60.7819</v>
      </c>
      <c r="T345" s="10">
        <v>22.628</v>
      </c>
      <c r="U345" s="10">
        <v>26.738399999999999</v>
      </c>
      <c r="V345" s="10">
        <v>13.824400000000001</v>
      </c>
      <c r="W345" s="10">
        <v>12.2258</v>
      </c>
      <c r="X345" s="10">
        <v>10.1624</v>
      </c>
      <c r="Y345" s="10"/>
      <c r="Z345" s="10"/>
      <c r="AA345" s="10">
        <v>24.7501</v>
      </c>
      <c r="AB345" s="10"/>
      <c r="AC345" s="10">
        <v>14.4396</v>
      </c>
      <c r="AD345" s="10">
        <v>9.9144000000000005</v>
      </c>
      <c r="AG345" s="10">
        <v>8.5297999999999998</v>
      </c>
      <c r="AH345" s="10">
        <v>11.4854</v>
      </c>
      <c r="AI345" s="10">
        <v>10.361499999999999</v>
      </c>
      <c r="AJ345" s="10">
        <v>23.667300000000001</v>
      </c>
      <c r="AK345" s="10">
        <v>26.330500000000001</v>
      </c>
      <c r="AM345" s="10">
        <v>11.165699999999999</v>
      </c>
      <c r="AN345" s="10">
        <v>9.6837</v>
      </c>
      <c r="AO345" s="10">
        <v>5.1219999999999999</v>
      </c>
      <c r="AP345" s="10">
        <v>7.0026999999999999</v>
      </c>
      <c r="AU345">
        <v>18.334700000000002</v>
      </c>
      <c r="AZ345">
        <v>15.991400000000001</v>
      </c>
      <c r="BA345">
        <v>26.994399999999999</v>
      </c>
      <c r="BB345">
        <v>18.463000000000001</v>
      </c>
      <c r="BD345">
        <v>17.220300000000002</v>
      </c>
    </row>
    <row r="346" spans="1:56">
      <c r="A346" s="17">
        <v>45822</v>
      </c>
      <c r="B346" s="10">
        <v>28.610299999999999</v>
      </c>
      <c r="C346">
        <v>16.4556</v>
      </c>
      <c r="D346">
        <v>55.974299999999999</v>
      </c>
      <c r="E346">
        <v>11.517099999999999</v>
      </c>
      <c r="G346">
        <v>17.646999999999998</v>
      </c>
      <c r="L346" s="10">
        <v>15.4421</v>
      </c>
      <c r="M346" s="10">
        <v>21.347100000000001</v>
      </c>
      <c r="N346" s="10">
        <v>9.8596000000000004</v>
      </c>
      <c r="Q346" s="10">
        <v>19.9237</v>
      </c>
      <c r="R346" s="10">
        <v>9.4930000000000003</v>
      </c>
      <c r="S346" s="10">
        <v>59.6282</v>
      </c>
      <c r="T346" s="10">
        <v>23.049499999999998</v>
      </c>
      <c r="U346" s="10">
        <v>27.523299999999999</v>
      </c>
      <c r="V346" s="10">
        <v>13.763299999999999</v>
      </c>
      <c r="W346" s="10">
        <v>12.7049</v>
      </c>
      <c r="X346" s="10">
        <v>10.065799999999999</v>
      </c>
      <c r="Y346" s="10"/>
      <c r="Z346" s="10"/>
      <c r="AA346" s="10">
        <v>25.137</v>
      </c>
      <c r="AB346" s="10"/>
      <c r="AC346" s="10">
        <v>14.6533</v>
      </c>
      <c r="AD346" s="10">
        <v>9.8910999999999998</v>
      </c>
      <c r="AG346" s="10">
        <v>8.5802999999999994</v>
      </c>
      <c r="AH346" s="10">
        <v>11.435700000000001</v>
      </c>
      <c r="AI346" s="10">
        <v>10.096</v>
      </c>
      <c r="AJ346" s="10">
        <v>24.200099999999999</v>
      </c>
      <c r="AK346" s="10">
        <v>26.109000000000002</v>
      </c>
      <c r="AM346" s="10">
        <v>11.0029</v>
      </c>
      <c r="AN346" s="10">
        <v>9.7182999999999993</v>
      </c>
      <c r="AO346" s="10">
        <v>5.1346999999999996</v>
      </c>
      <c r="AP346" s="10">
        <v>7.0597000000000003</v>
      </c>
      <c r="AU346">
        <v>18.719000000000001</v>
      </c>
      <c r="AZ346">
        <v>16.363</v>
      </c>
      <c r="BA346">
        <v>26.759599999999999</v>
      </c>
      <c r="BB346">
        <v>18.749199999999998</v>
      </c>
      <c r="BD346">
        <v>17.1755</v>
      </c>
    </row>
    <row r="347" spans="1:56">
      <c r="A347" s="17">
        <v>45829</v>
      </c>
      <c r="B347" s="10">
        <v>27.248000000000001</v>
      </c>
      <c r="C347">
        <v>16.199300000000001</v>
      </c>
      <c r="D347">
        <v>53.427500000000002</v>
      </c>
      <c r="E347">
        <v>11.367800000000001</v>
      </c>
      <c r="G347">
        <v>17.188800000000001</v>
      </c>
      <c r="L347" s="10">
        <v>15.127599999999999</v>
      </c>
      <c r="M347" s="10">
        <v>21.012499999999999</v>
      </c>
      <c r="N347" s="10">
        <v>9.5356000000000005</v>
      </c>
      <c r="Q347" s="10">
        <v>19.200500000000002</v>
      </c>
      <c r="R347" s="10">
        <v>9.2062000000000008</v>
      </c>
      <c r="S347" s="10">
        <v>56.296799999999998</v>
      </c>
      <c r="T347" s="10">
        <v>22.93</v>
      </c>
      <c r="U347" s="10">
        <v>27.213100000000001</v>
      </c>
      <c r="V347" s="10">
        <v>10.7637</v>
      </c>
      <c r="W347" s="10">
        <v>12.9514</v>
      </c>
      <c r="X347" s="10">
        <v>9.8255999999999997</v>
      </c>
      <c r="Y347" s="10"/>
      <c r="Z347" s="10"/>
      <c r="AA347" s="10">
        <v>24.924199999999999</v>
      </c>
      <c r="AB347" s="10"/>
      <c r="AC347" s="10">
        <v>14.4602</v>
      </c>
      <c r="AD347" s="10">
        <v>9.8810000000000002</v>
      </c>
      <c r="AG347" s="10">
        <v>8.8795999999999999</v>
      </c>
      <c r="AH347" s="10">
        <v>11.4818</v>
      </c>
      <c r="AI347" s="10">
        <v>9.3788</v>
      </c>
      <c r="AJ347" s="10">
        <v>23.832000000000001</v>
      </c>
      <c r="AK347" s="10">
        <v>25.6523</v>
      </c>
      <c r="AM347" s="10">
        <v>10.612</v>
      </c>
      <c r="AN347" s="10">
        <v>9.4342000000000006</v>
      </c>
      <c r="AO347" s="10">
        <v>5.0845000000000002</v>
      </c>
      <c r="AP347" s="10">
        <v>7.0023999999999997</v>
      </c>
      <c r="AU347">
        <v>18.519100000000002</v>
      </c>
      <c r="AZ347">
        <v>16.105499999999999</v>
      </c>
      <c r="BA347">
        <v>26.493600000000001</v>
      </c>
      <c r="BB347">
        <v>18.567399999999999</v>
      </c>
      <c r="BD347">
        <v>16.738199999999999</v>
      </c>
    </row>
    <row r="348" spans="1:56">
      <c r="A348" s="17">
        <v>45836</v>
      </c>
      <c r="B348" s="10">
        <v>27.9316</v>
      </c>
      <c r="C348">
        <v>16.2668</v>
      </c>
      <c r="D348">
        <v>54.709200000000003</v>
      </c>
      <c r="E348">
        <v>11.513500000000001</v>
      </c>
      <c r="G348">
        <v>17.389800000000001</v>
      </c>
      <c r="L348" s="10">
        <v>15.9659</v>
      </c>
      <c r="M348" s="10">
        <v>20.5107</v>
      </c>
      <c r="N348" s="10">
        <v>8.8405000000000005</v>
      </c>
      <c r="Q348" s="10">
        <v>19.476299999999998</v>
      </c>
      <c r="R348" s="10">
        <v>9.3493999999999993</v>
      </c>
      <c r="S348" s="10">
        <v>57.393799999999999</v>
      </c>
      <c r="T348" s="10">
        <v>22.270900000000001</v>
      </c>
      <c r="U348" s="10">
        <v>27.495899999999999</v>
      </c>
      <c r="V348" s="10">
        <v>13.9588</v>
      </c>
      <c r="W348" s="10">
        <v>13.6266</v>
      </c>
      <c r="X348" s="10">
        <v>9.9684000000000008</v>
      </c>
      <c r="Y348" s="10"/>
      <c r="Z348" s="10"/>
      <c r="AA348" s="10">
        <v>25.673999999999999</v>
      </c>
      <c r="AB348" s="10"/>
      <c r="AC348" s="10">
        <v>14.788500000000001</v>
      </c>
      <c r="AD348" s="10">
        <v>9.8043999999999993</v>
      </c>
      <c r="AG348" s="10">
        <v>8.9255999999999993</v>
      </c>
      <c r="AH348" s="10">
        <v>11.5657</v>
      </c>
      <c r="AI348" s="10">
        <v>9.6414000000000009</v>
      </c>
      <c r="AJ348" s="10">
        <v>23.270800000000001</v>
      </c>
      <c r="AK348" s="10">
        <v>25.874300000000002</v>
      </c>
      <c r="AM348" s="10">
        <v>10.749700000000001</v>
      </c>
      <c r="AN348" s="10">
        <v>9.5259999999999998</v>
      </c>
      <c r="AO348" s="10">
        <v>5.1871</v>
      </c>
      <c r="AP348" s="10">
        <v>7.1307999999999998</v>
      </c>
      <c r="AU348">
        <v>18.016100000000002</v>
      </c>
      <c r="AZ348">
        <v>15.721299999999999</v>
      </c>
      <c r="BA348">
        <v>27.122800000000002</v>
      </c>
      <c r="BB348">
        <v>19.003799999999998</v>
      </c>
      <c r="BD348">
        <v>16.802299999999999</v>
      </c>
    </row>
    <row r="349" spans="1:56">
      <c r="A349" s="17">
        <v>45843</v>
      </c>
      <c r="B349" s="10">
        <v>28.777999999999999</v>
      </c>
      <c r="C349">
        <v>16.720700000000001</v>
      </c>
      <c r="D349">
        <v>56.345300000000002</v>
      </c>
      <c r="E349">
        <v>11.778499999999999</v>
      </c>
      <c r="G349">
        <v>17.712299999999999</v>
      </c>
      <c r="L349" s="10">
        <v>16.261199999999999</v>
      </c>
      <c r="M349" s="10">
        <v>20.771999999999998</v>
      </c>
      <c r="N349" s="10">
        <v>9.9215</v>
      </c>
      <c r="Q349" s="10">
        <v>19.8688</v>
      </c>
      <c r="R349" s="10">
        <v>9.5225000000000009</v>
      </c>
      <c r="S349" s="10">
        <v>58.829099999999997</v>
      </c>
      <c r="T349" s="10">
        <v>22.4054</v>
      </c>
      <c r="U349" s="10">
        <v>28.024100000000001</v>
      </c>
      <c r="V349" s="10">
        <v>13.6053</v>
      </c>
      <c r="W349" s="10">
        <v>14.566000000000001</v>
      </c>
      <c r="X349" s="10">
        <v>10.2303</v>
      </c>
      <c r="Y349" s="10"/>
      <c r="Z349" s="10"/>
      <c r="AA349" s="10">
        <v>26.116099999999999</v>
      </c>
      <c r="AB349" s="10"/>
      <c r="AC349" s="10">
        <v>15.036</v>
      </c>
      <c r="AD349" s="10">
        <v>9.9197000000000006</v>
      </c>
      <c r="AG349" s="10">
        <v>8.9314</v>
      </c>
      <c r="AH349" s="10">
        <v>11.702299999999999</v>
      </c>
      <c r="AI349" s="10">
        <v>10.1614</v>
      </c>
      <c r="AJ349" s="10">
        <v>23.672999999999998</v>
      </c>
      <c r="AK349" s="10">
        <v>26.167100000000001</v>
      </c>
      <c r="AM349" s="10">
        <v>10.9701</v>
      </c>
      <c r="AN349" s="10">
        <v>9.6396999999999995</v>
      </c>
      <c r="AO349" s="10">
        <v>5.1319999999999997</v>
      </c>
      <c r="AP349" s="10">
        <v>7.2504999999999997</v>
      </c>
      <c r="AU349">
        <v>18.196300000000001</v>
      </c>
      <c r="AZ349">
        <v>15.9267</v>
      </c>
      <c r="BA349">
        <v>27.671500000000002</v>
      </c>
      <c r="BB349">
        <v>19.384499999999999</v>
      </c>
      <c r="BD349">
        <v>17.0305</v>
      </c>
    </row>
    <row r="350" spans="1:56">
      <c r="A350" s="17">
        <v>45850</v>
      </c>
      <c r="B350" s="10">
        <v>28.665400000000002</v>
      </c>
      <c r="C350">
        <v>16.740400000000001</v>
      </c>
      <c r="D350">
        <v>56.139499999999998</v>
      </c>
      <c r="E350">
        <v>11.7171</v>
      </c>
      <c r="G350">
        <v>17.7318</v>
      </c>
      <c r="L350" s="10">
        <v>16.3888</v>
      </c>
      <c r="M350" s="10">
        <v>20.707000000000001</v>
      </c>
      <c r="N350" s="10">
        <v>9.8061000000000007</v>
      </c>
      <c r="Q350" s="10">
        <v>19.8886</v>
      </c>
      <c r="R350" s="10">
        <v>9.5309000000000008</v>
      </c>
      <c r="S350" s="10">
        <v>58.892899999999997</v>
      </c>
      <c r="T350" s="10">
        <v>22.4559</v>
      </c>
      <c r="U350" s="10">
        <v>28.152799999999999</v>
      </c>
      <c r="V350" s="10">
        <v>13.602399999999999</v>
      </c>
      <c r="W350" s="10">
        <v>14.5533</v>
      </c>
      <c r="X350" s="10">
        <v>10.2348</v>
      </c>
      <c r="Y350" s="10"/>
      <c r="Z350" s="10"/>
      <c r="AA350" s="10">
        <v>26.139900000000001</v>
      </c>
      <c r="AB350" s="10"/>
      <c r="AC350" s="10">
        <v>15.028600000000001</v>
      </c>
      <c r="AD350" s="10">
        <v>9.9323999999999995</v>
      </c>
      <c r="AG350" s="10">
        <v>9.4460999999999995</v>
      </c>
      <c r="AH350" s="10">
        <v>11.915800000000001</v>
      </c>
      <c r="AI350" s="10">
        <v>10.1531</v>
      </c>
      <c r="AJ350" s="10">
        <v>23.4941</v>
      </c>
      <c r="AK350" s="10">
        <v>26.1616</v>
      </c>
      <c r="AM350" s="10">
        <v>10.955399999999999</v>
      </c>
      <c r="AN350" s="10">
        <v>9.6282999999999994</v>
      </c>
      <c r="AO350" s="10">
        <v>5.1605999999999996</v>
      </c>
      <c r="AP350" s="10">
        <v>7.2832999999999997</v>
      </c>
      <c r="AU350">
        <v>18.179600000000001</v>
      </c>
      <c r="AZ350">
        <v>15.876899999999999</v>
      </c>
      <c r="BA350">
        <v>27.626999999999999</v>
      </c>
      <c r="BB350">
        <v>19.352699999999999</v>
      </c>
      <c r="BD350">
        <v>17.236499999999999</v>
      </c>
    </row>
    <row r="351" spans="1:56">
      <c r="A351" s="17">
        <v>45857</v>
      </c>
      <c r="B351" s="10">
        <v>30.567799999999998</v>
      </c>
      <c r="C351">
        <v>16.4895</v>
      </c>
      <c r="D351">
        <v>59.758800000000001</v>
      </c>
      <c r="E351">
        <v>11.6707</v>
      </c>
      <c r="G351">
        <v>17.474799999999998</v>
      </c>
      <c r="L351" s="10">
        <v>16.6172</v>
      </c>
      <c r="M351" s="10">
        <v>20.8063</v>
      </c>
      <c r="N351" s="10">
        <v>9.9670000000000005</v>
      </c>
      <c r="Q351" s="10">
        <v>20.866900000000001</v>
      </c>
      <c r="R351" s="10">
        <v>9.9675999999999991</v>
      </c>
      <c r="S351" s="10">
        <v>62.6357</v>
      </c>
      <c r="T351" s="10">
        <v>22.4892</v>
      </c>
      <c r="U351" s="10">
        <v>27.815799999999999</v>
      </c>
      <c r="V351" s="10">
        <v>14.221299999999999</v>
      </c>
      <c r="W351" s="10">
        <v>15.2569</v>
      </c>
      <c r="X351" s="10">
        <v>10.044</v>
      </c>
      <c r="Y351" s="10"/>
      <c r="Z351" s="10"/>
      <c r="AA351" s="10">
        <v>26.340599999999998</v>
      </c>
      <c r="AB351" s="10"/>
      <c r="AC351" s="10">
        <v>15.039300000000001</v>
      </c>
      <c r="AD351" s="10">
        <v>10.0486</v>
      </c>
      <c r="AG351" s="10">
        <v>9.5463000000000005</v>
      </c>
      <c r="AH351" s="10">
        <v>11.947800000000001</v>
      </c>
      <c r="AI351" s="10">
        <v>10.702199999999999</v>
      </c>
      <c r="AJ351" s="10">
        <v>23.6113</v>
      </c>
      <c r="AK351" s="10">
        <v>26.757100000000001</v>
      </c>
      <c r="AM351" s="10">
        <v>11.4566</v>
      </c>
      <c r="AN351" s="10">
        <v>9.8760999999999992</v>
      </c>
      <c r="AO351" s="10">
        <v>5.2790999999999997</v>
      </c>
      <c r="AP351" s="10">
        <v>7.2827999999999999</v>
      </c>
      <c r="AU351">
        <v>18.235700000000001</v>
      </c>
      <c r="AZ351">
        <v>15.9589</v>
      </c>
      <c r="BA351">
        <v>27.7577</v>
      </c>
      <c r="BB351">
        <v>19.444099999999999</v>
      </c>
      <c r="BD351">
        <v>17.089700000000001</v>
      </c>
    </row>
    <row r="352" spans="1:56">
      <c r="A352" s="17">
        <v>45864</v>
      </c>
      <c r="B352" s="10">
        <v>30.680299999999999</v>
      </c>
      <c r="C352">
        <v>16.786999999999999</v>
      </c>
      <c r="D352">
        <v>59.942999999999998</v>
      </c>
      <c r="E352">
        <v>11.9223</v>
      </c>
      <c r="G352">
        <v>17.572500000000002</v>
      </c>
      <c r="L352" s="10">
        <v>16.576599999999999</v>
      </c>
      <c r="M352" s="10">
        <v>20.749600000000001</v>
      </c>
      <c r="N352" s="10">
        <v>10.3165</v>
      </c>
      <c r="Q352" s="10">
        <v>20.9968</v>
      </c>
      <c r="R352" s="10">
        <v>10.010999999999999</v>
      </c>
      <c r="S352" s="10">
        <v>63.103900000000003</v>
      </c>
      <c r="T352" s="10">
        <v>22.447500000000002</v>
      </c>
      <c r="U352" s="10">
        <v>28.309100000000001</v>
      </c>
      <c r="V352" s="10">
        <v>14.604699999999999</v>
      </c>
      <c r="W352" s="10">
        <v>15.161899999999999</v>
      </c>
      <c r="X352" s="10">
        <v>10.215</v>
      </c>
      <c r="Y352" s="10"/>
      <c r="Z352" s="10"/>
      <c r="AA352" s="10">
        <v>26.458200000000001</v>
      </c>
      <c r="AB352" s="10"/>
      <c r="AC352" s="10">
        <v>15.216900000000001</v>
      </c>
      <c r="AD352" s="10">
        <v>10.093299999999999</v>
      </c>
      <c r="AG352" s="10">
        <v>9.7463999999999995</v>
      </c>
      <c r="AH352" s="10">
        <v>12.0642</v>
      </c>
      <c r="AI352" s="10">
        <v>10.747199999999999</v>
      </c>
      <c r="AJ352" s="10">
        <v>23.547599999999999</v>
      </c>
      <c r="AK352" s="10">
        <v>26.809000000000001</v>
      </c>
      <c r="AM352" s="10">
        <v>11.492800000000001</v>
      </c>
      <c r="AN352" s="10">
        <v>9.9718999999999998</v>
      </c>
      <c r="AO352" s="10">
        <v>5.5251000000000001</v>
      </c>
      <c r="AP352" s="10">
        <v>7.3555000000000001</v>
      </c>
      <c r="AU352">
        <v>18.1892</v>
      </c>
      <c r="AZ352">
        <v>15.9209</v>
      </c>
      <c r="BA352">
        <v>28.0059</v>
      </c>
      <c r="BB352">
        <v>19.6187</v>
      </c>
      <c r="BD352">
        <v>17.238299999999999</v>
      </c>
    </row>
    <row r="353" spans="1:56">
      <c r="A353" s="17">
        <v>45871</v>
      </c>
      <c r="B353" s="10">
        <v>30.5852</v>
      </c>
      <c r="C353">
        <v>16.741199999999999</v>
      </c>
      <c r="D353">
        <v>59.757199999999997</v>
      </c>
      <c r="E353">
        <v>11.7094</v>
      </c>
      <c r="G353">
        <v>17.541399999999999</v>
      </c>
      <c r="L353" s="10">
        <v>16.877400000000002</v>
      </c>
      <c r="M353" s="10">
        <v>20.4651</v>
      </c>
      <c r="N353" s="10">
        <v>10.0306</v>
      </c>
      <c r="Q353" s="10">
        <v>20.938199999999998</v>
      </c>
      <c r="R353" s="10">
        <v>9.9710999999999999</v>
      </c>
      <c r="S353" s="10">
        <v>62.808799999999998</v>
      </c>
      <c r="T353" s="10">
        <v>22.442599999999999</v>
      </c>
      <c r="U353" s="10">
        <v>28.306899999999999</v>
      </c>
      <c r="V353" s="10">
        <v>14.244199999999999</v>
      </c>
      <c r="W353" s="10">
        <v>14.5708</v>
      </c>
      <c r="X353" s="10">
        <v>10.0329</v>
      </c>
      <c r="Y353" s="10"/>
      <c r="Z353" s="10"/>
      <c r="AA353" s="10">
        <v>26.479900000000001</v>
      </c>
      <c r="AB353" s="10"/>
      <c r="AC353" s="10">
        <v>15.043900000000001</v>
      </c>
      <c r="AD353" s="10">
        <v>10.2806</v>
      </c>
      <c r="AG353" s="10">
        <v>9.5973000000000006</v>
      </c>
      <c r="AH353" s="10">
        <v>11.8255</v>
      </c>
      <c r="AI353" s="10">
        <v>10.840199999999999</v>
      </c>
      <c r="AJ353" s="10">
        <v>23.236499999999999</v>
      </c>
      <c r="AK353" s="10">
        <v>26.793500000000002</v>
      </c>
      <c r="AM353" s="10">
        <v>11.4734</v>
      </c>
      <c r="AN353" s="10">
        <v>10.105</v>
      </c>
      <c r="AO353" s="10">
        <v>5.3571999999999997</v>
      </c>
      <c r="AP353" s="10">
        <v>7.4352999999999998</v>
      </c>
      <c r="AU353">
        <v>18.055700000000002</v>
      </c>
      <c r="AZ353">
        <v>15.7087</v>
      </c>
      <c r="BA353">
        <v>27.8995</v>
      </c>
      <c r="BB353">
        <v>19.5457</v>
      </c>
      <c r="BD353">
        <v>17.053599999999999</v>
      </c>
    </row>
    <row r="354" spans="1:56">
      <c r="A354" s="17">
        <v>45878</v>
      </c>
      <c r="B354" s="10">
        <v>31.741700000000002</v>
      </c>
      <c r="C354">
        <v>16.385999999999999</v>
      </c>
      <c r="D354">
        <v>61.988799999999998</v>
      </c>
      <c r="E354">
        <v>11.722899999999999</v>
      </c>
      <c r="G354">
        <v>17.454599999999999</v>
      </c>
      <c r="L354" s="10">
        <v>16.9267</v>
      </c>
      <c r="M354" s="10">
        <v>21.138000000000002</v>
      </c>
      <c r="N354" s="10">
        <v>10.1449</v>
      </c>
      <c r="Q354" s="10">
        <v>21.398</v>
      </c>
      <c r="R354" s="10">
        <v>10.1973</v>
      </c>
      <c r="S354" s="10">
        <v>64.612399999999994</v>
      </c>
      <c r="T354" s="10">
        <v>22.8795</v>
      </c>
      <c r="U354" s="10">
        <v>27.613099999999999</v>
      </c>
      <c r="V354" s="10">
        <v>14.209099999999999</v>
      </c>
      <c r="W354" s="10">
        <v>14.1045</v>
      </c>
      <c r="X354" s="10">
        <v>10.003</v>
      </c>
      <c r="Y354" s="10"/>
      <c r="Z354" s="10"/>
      <c r="AA354" s="10">
        <v>26.6205</v>
      </c>
      <c r="AB354" s="10"/>
      <c r="AC354" s="10">
        <v>15.141999999999999</v>
      </c>
      <c r="AD354" s="10">
        <v>10.3325</v>
      </c>
      <c r="AG354" s="10">
        <v>10.119199999999999</v>
      </c>
      <c r="AH354" s="10">
        <v>12.025700000000001</v>
      </c>
      <c r="AI354" s="10">
        <v>11.001200000000001</v>
      </c>
      <c r="AJ354" s="10">
        <v>23.974900000000002</v>
      </c>
      <c r="AK354" s="10">
        <v>27.1294</v>
      </c>
      <c r="AM354" s="10">
        <v>11.742800000000001</v>
      </c>
      <c r="AN354" s="10">
        <v>10.3248</v>
      </c>
      <c r="AO354" s="10">
        <v>5.4332000000000003</v>
      </c>
      <c r="AP354" s="10">
        <v>7.3221999999999996</v>
      </c>
      <c r="AU354">
        <v>18.535699999999999</v>
      </c>
      <c r="AZ354">
        <v>16.226800000000001</v>
      </c>
      <c r="BA354">
        <v>27.8796</v>
      </c>
      <c r="BB354">
        <v>19.530200000000001</v>
      </c>
      <c r="BD354">
        <v>17.075700000000001</v>
      </c>
    </row>
    <row r="355" spans="1:56">
      <c r="A355" s="17">
        <v>45885</v>
      </c>
      <c r="B355" s="10">
        <v>31.788900000000002</v>
      </c>
      <c r="C355">
        <v>17.113299999999999</v>
      </c>
      <c r="D355">
        <v>62.097799999999999</v>
      </c>
      <c r="E355">
        <v>11.9313</v>
      </c>
      <c r="G355">
        <v>17.347999999999999</v>
      </c>
      <c r="L355" s="10">
        <v>17.016500000000001</v>
      </c>
      <c r="M355" s="10">
        <v>20.700600000000001</v>
      </c>
      <c r="N355" s="10">
        <v>10.321999999999999</v>
      </c>
      <c r="Q355" s="10">
        <v>21.3614</v>
      </c>
      <c r="R355" s="10">
        <v>10.2051</v>
      </c>
      <c r="S355" s="10">
        <v>64.405199999999994</v>
      </c>
      <c r="T355" s="10">
        <v>22.459499999999998</v>
      </c>
      <c r="U355" s="10">
        <v>28.213000000000001</v>
      </c>
      <c r="V355" s="10">
        <v>14.463699999999999</v>
      </c>
      <c r="W355" s="10">
        <v>14.494300000000001</v>
      </c>
      <c r="X355" s="10">
        <v>10.257999999999999</v>
      </c>
      <c r="Y355" s="10"/>
      <c r="Z355" s="10"/>
      <c r="AA355" s="10">
        <v>27.0945</v>
      </c>
      <c r="AB355" s="10"/>
      <c r="AC355" s="10">
        <v>15.3865</v>
      </c>
      <c r="AD355" s="10">
        <v>10.3073</v>
      </c>
      <c r="AG355" s="10">
        <v>10.566700000000001</v>
      </c>
      <c r="AH355" s="10">
        <v>12.2903</v>
      </c>
      <c r="AI355" s="10">
        <v>10.8025</v>
      </c>
      <c r="AJ355" s="10">
        <v>23.49</v>
      </c>
      <c r="AK355" s="10">
        <v>27.1309</v>
      </c>
      <c r="AM355" s="10">
        <v>11.7041</v>
      </c>
      <c r="AN355" s="10">
        <v>10.3339</v>
      </c>
      <c r="AO355" s="10">
        <v>5.5438000000000001</v>
      </c>
      <c r="AP355" s="10">
        <v>7.2839999999999998</v>
      </c>
      <c r="AU355">
        <v>18.169799999999999</v>
      </c>
      <c r="AZ355">
        <v>15.890700000000001</v>
      </c>
      <c r="BA355">
        <v>28.382899999999999</v>
      </c>
      <c r="BB355">
        <v>19.887699999999999</v>
      </c>
      <c r="BD355">
        <v>17.343599999999999</v>
      </c>
    </row>
    <row r="356" spans="1:56">
      <c r="A356" s="17">
        <v>45892</v>
      </c>
      <c r="B356" s="10">
        <v>31.474499999999999</v>
      </c>
      <c r="C356">
        <v>16.7974</v>
      </c>
      <c r="D356">
        <v>61.511899999999997</v>
      </c>
      <c r="E356">
        <v>11.8916</v>
      </c>
      <c r="G356">
        <v>17.4039</v>
      </c>
      <c r="L356" s="10">
        <v>16.447199999999999</v>
      </c>
      <c r="M356" s="10">
        <v>20.618200000000002</v>
      </c>
      <c r="N356" s="10">
        <v>10.250400000000001</v>
      </c>
      <c r="Q356" s="10">
        <v>21.342700000000001</v>
      </c>
      <c r="R356" s="10">
        <v>10.2417</v>
      </c>
      <c r="S356" s="10">
        <v>64.683199999999999</v>
      </c>
      <c r="T356" s="10">
        <v>22.515999999999998</v>
      </c>
      <c r="U356" s="10">
        <v>27.7987</v>
      </c>
      <c r="V356" s="10">
        <v>14.5893</v>
      </c>
      <c r="W356" s="10">
        <v>14.083399999999999</v>
      </c>
      <c r="X356" s="10">
        <v>10.1112</v>
      </c>
      <c r="Y356" s="10"/>
      <c r="Z356" s="10"/>
      <c r="AA356" s="10">
        <v>26.3504</v>
      </c>
      <c r="AB356" s="10"/>
      <c r="AC356" s="10">
        <v>15.244899999999999</v>
      </c>
      <c r="AD356" s="10">
        <v>10.299099999999999</v>
      </c>
      <c r="AG356" s="10">
        <v>10.7265</v>
      </c>
      <c r="AH356" s="10">
        <v>12.7715</v>
      </c>
      <c r="AI356" s="10">
        <v>10.9513</v>
      </c>
      <c r="AJ356" s="10">
        <v>23.4025</v>
      </c>
      <c r="AK356" s="10">
        <v>27.245200000000001</v>
      </c>
      <c r="AM356" s="10">
        <v>11.7674</v>
      </c>
      <c r="AN356" s="10">
        <v>10.2805</v>
      </c>
      <c r="AO356" s="10">
        <v>5.5686999999999998</v>
      </c>
      <c r="AP356" s="10">
        <v>7.1619999999999999</v>
      </c>
      <c r="AU356">
        <v>18.150099999999998</v>
      </c>
      <c r="AZ356">
        <v>15.8316</v>
      </c>
      <c r="BA356">
        <v>27.983799999999999</v>
      </c>
      <c r="BB356">
        <v>19.610600000000002</v>
      </c>
      <c r="BD356">
        <v>17.5076</v>
      </c>
    </row>
    <row r="357" spans="1:56">
      <c r="A357" s="17">
        <v>45899</v>
      </c>
      <c r="B357" s="10">
        <v>31.1081</v>
      </c>
      <c r="C357">
        <v>17.324200000000001</v>
      </c>
      <c r="D357">
        <v>60.814999999999998</v>
      </c>
      <c r="E357">
        <v>11.914400000000001</v>
      </c>
      <c r="G357">
        <v>17.3523</v>
      </c>
      <c r="L357" s="10">
        <v>16.940899999999999</v>
      </c>
      <c r="M357" s="10">
        <v>21.073399999999999</v>
      </c>
      <c r="N357" s="10">
        <v>10.2982</v>
      </c>
      <c r="Q357" s="10">
        <v>21.125499999999999</v>
      </c>
      <c r="R357" s="10">
        <v>10.158200000000001</v>
      </c>
      <c r="S357" s="10">
        <v>63.637500000000003</v>
      </c>
      <c r="T357" s="10">
        <v>22.848600000000001</v>
      </c>
      <c r="U357" s="10">
        <v>28.439</v>
      </c>
      <c r="V357" s="10">
        <v>14.4399</v>
      </c>
      <c r="W357" s="10">
        <v>14.6951</v>
      </c>
      <c r="X357" s="10">
        <v>10.4331</v>
      </c>
      <c r="Y357" s="10"/>
      <c r="Z357" s="10"/>
      <c r="AA357" s="10">
        <v>26.93</v>
      </c>
      <c r="AB357" s="10"/>
      <c r="AC357" s="10">
        <v>15.466100000000001</v>
      </c>
      <c r="AD357" s="10">
        <v>10.309100000000001</v>
      </c>
      <c r="AG357" s="10">
        <v>10.966200000000001</v>
      </c>
      <c r="AH357" s="10">
        <v>12.8978</v>
      </c>
      <c r="AI357" s="10">
        <v>10.8093</v>
      </c>
      <c r="AJ357" s="10">
        <v>23.906300000000002</v>
      </c>
      <c r="AK357" s="10">
        <v>27.126100000000001</v>
      </c>
      <c r="AM357" s="10">
        <v>11.685499999999999</v>
      </c>
      <c r="AN357" s="10">
        <v>10.270300000000001</v>
      </c>
      <c r="AO357" s="10">
        <v>5.6372</v>
      </c>
      <c r="AP357" s="10">
        <v>7.2187000000000001</v>
      </c>
      <c r="AU357">
        <v>18.489599999999999</v>
      </c>
      <c r="AZ357">
        <v>16.186399999999999</v>
      </c>
      <c r="BA357">
        <v>28.5059</v>
      </c>
      <c r="BB357">
        <v>19.975200000000001</v>
      </c>
      <c r="BD357">
        <v>17.3279</v>
      </c>
    </row>
    <row r="358" spans="1:56">
      <c r="A358" s="17">
        <v>45906</v>
      </c>
      <c r="B358" s="10">
        <v>32.1496</v>
      </c>
      <c r="C358">
        <v>17.1784</v>
      </c>
      <c r="D358">
        <v>62.863799999999998</v>
      </c>
      <c r="E358">
        <v>11.8719</v>
      </c>
      <c r="G358">
        <v>17.311599999999999</v>
      </c>
      <c r="L358" s="10">
        <v>16.582899999999999</v>
      </c>
      <c r="M358" s="10">
        <v>21.822900000000001</v>
      </c>
      <c r="N358" s="10">
        <v>10.1998</v>
      </c>
      <c r="Q358" s="10">
        <v>21.459399999999999</v>
      </c>
      <c r="R358" s="10">
        <v>10.321099999999999</v>
      </c>
      <c r="S358" s="10">
        <v>64.970600000000005</v>
      </c>
      <c r="T358" s="10">
        <v>23.5578</v>
      </c>
      <c r="U358" s="10">
        <v>28.113399999999999</v>
      </c>
      <c r="V358" s="10">
        <v>14.5015</v>
      </c>
      <c r="W358" s="10">
        <v>14.2111</v>
      </c>
      <c r="X358" s="10">
        <v>10.164</v>
      </c>
      <c r="Y358" s="10"/>
      <c r="Z358" s="10"/>
      <c r="AA358" s="10">
        <v>26.441199999999998</v>
      </c>
      <c r="AB358" s="10"/>
      <c r="AC358" s="10">
        <v>15.4282</v>
      </c>
      <c r="AD358" s="10">
        <v>10.242800000000001</v>
      </c>
      <c r="AG358" s="10">
        <v>10.7805</v>
      </c>
      <c r="AH358" s="10">
        <v>12.776999999999999</v>
      </c>
      <c r="AI358" s="10">
        <v>11.3757</v>
      </c>
      <c r="AJ358" s="10">
        <v>24.7409</v>
      </c>
      <c r="AK358" s="10">
        <v>27.4755</v>
      </c>
      <c r="AM358" s="10">
        <v>11.9247</v>
      </c>
      <c r="AN358" s="10">
        <v>10.4588</v>
      </c>
      <c r="AO358" s="10">
        <v>5.6215000000000002</v>
      </c>
      <c r="AP358" s="10">
        <v>7.0827999999999998</v>
      </c>
      <c r="AU358">
        <v>19.104500000000002</v>
      </c>
      <c r="AZ358">
        <v>16.771699999999999</v>
      </c>
      <c r="BA358">
        <v>28.4894</v>
      </c>
      <c r="BB358">
        <v>19.963699999999999</v>
      </c>
      <c r="BD358">
        <v>17.202300000000001</v>
      </c>
    </row>
    <row r="359" spans="1:56">
      <c r="A359" s="17">
        <v>45913</v>
      </c>
      <c r="B359" s="10">
        <v>32.6843</v>
      </c>
      <c r="C359">
        <v>17.2057</v>
      </c>
      <c r="D359">
        <v>63.876300000000001</v>
      </c>
      <c r="E359">
        <v>12.059699999999999</v>
      </c>
      <c r="G359">
        <v>17.092300000000002</v>
      </c>
      <c r="L359" s="10">
        <v>17.335100000000001</v>
      </c>
      <c r="M359" s="10">
        <v>22.681999999999999</v>
      </c>
      <c r="N359" s="10">
        <v>10.7003</v>
      </c>
      <c r="Q359" s="10">
        <v>21.723500000000001</v>
      </c>
      <c r="R359" s="10">
        <v>10.3954</v>
      </c>
      <c r="S359" s="10">
        <v>66.031499999999994</v>
      </c>
      <c r="T359" s="10">
        <v>24.192299999999999</v>
      </c>
      <c r="U359" s="10">
        <v>28.362200000000001</v>
      </c>
      <c r="V359" s="10">
        <v>14.8658</v>
      </c>
      <c r="W359" s="10">
        <v>15.479100000000001</v>
      </c>
      <c r="X359" s="10">
        <v>10.0047</v>
      </c>
      <c r="Y359" s="10"/>
      <c r="Z359" s="10"/>
      <c r="AA359" s="10">
        <v>26.7575</v>
      </c>
      <c r="AB359" s="10"/>
      <c r="AC359" s="10">
        <v>15.6691</v>
      </c>
      <c r="AD359" s="10">
        <v>10.3673</v>
      </c>
      <c r="AG359" s="10">
        <v>10.5715</v>
      </c>
      <c r="AH359" s="10">
        <v>12.992699999999999</v>
      </c>
      <c r="AI359" s="10">
        <v>11.664899999999999</v>
      </c>
      <c r="AJ359" s="10">
        <v>25.6815</v>
      </c>
      <c r="AK359" s="10">
        <v>27.623799999999999</v>
      </c>
      <c r="AM359" s="10">
        <v>12.0633</v>
      </c>
      <c r="AN359" s="10">
        <v>10.5312</v>
      </c>
      <c r="AO359" s="10">
        <v>5.8956999999999997</v>
      </c>
      <c r="AP359" s="10">
        <v>7.1031000000000004</v>
      </c>
      <c r="AU359">
        <v>19.753</v>
      </c>
      <c r="AZ359">
        <v>17.444500000000001</v>
      </c>
      <c r="BA359">
        <v>28.803899999999999</v>
      </c>
      <c r="BB359">
        <v>20.1843</v>
      </c>
      <c r="BD359">
        <v>17.335100000000001</v>
      </c>
    </row>
    <row r="360" spans="1:56">
      <c r="A360" s="17">
        <v>45920</v>
      </c>
      <c r="B360" s="10">
        <v>32.584899999999998</v>
      </c>
      <c r="C360">
        <v>17.152699999999999</v>
      </c>
      <c r="D360">
        <v>63.708300000000001</v>
      </c>
      <c r="E360">
        <v>12.1882</v>
      </c>
      <c r="G360">
        <v>17.0931</v>
      </c>
      <c r="L360" s="10">
        <v>17.713999999999999</v>
      </c>
      <c r="M360" s="10">
        <v>22.461300000000001</v>
      </c>
      <c r="N360" s="10">
        <v>10.893000000000001</v>
      </c>
      <c r="Q360" s="10">
        <v>21.651900000000001</v>
      </c>
      <c r="R360" s="10">
        <v>10.39</v>
      </c>
      <c r="S360" s="10">
        <v>65.643100000000004</v>
      </c>
      <c r="T360" s="10">
        <v>24.056699999999999</v>
      </c>
      <c r="U360" s="10">
        <v>29.046199999999999</v>
      </c>
      <c r="V360" s="10">
        <v>15.2624</v>
      </c>
      <c r="W360" s="10">
        <v>16.5336</v>
      </c>
      <c r="X360" s="10">
        <v>9.9505999999999997</v>
      </c>
      <c r="Y360" s="10"/>
      <c r="Z360" s="10"/>
      <c r="AA360" s="10">
        <v>27.2273</v>
      </c>
      <c r="AB360" s="10"/>
      <c r="AC360" s="10">
        <v>15.767300000000001</v>
      </c>
      <c r="AD360" s="10">
        <v>10.491300000000001</v>
      </c>
      <c r="AG360" s="10">
        <v>10.4514</v>
      </c>
      <c r="AH360" s="10">
        <v>12.918699999999999</v>
      </c>
      <c r="AI360" s="10">
        <v>11.642099999999999</v>
      </c>
      <c r="AJ360" s="10">
        <v>25.4467</v>
      </c>
      <c r="AK360" s="10">
        <v>27.584099999999999</v>
      </c>
      <c r="AM360" s="10">
        <v>12.0184</v>
      </c>
      <c r="AN360" s="10">
        <v>10.536799999999999</v>
      </c>
      <c r="AO360" s="10">
        <v>6.0585000000000004</v>
      </c>
      <c r="AP360" s="10">
        <v>7.1315</v>
      </c>
      <c r="AU360">
        <v>19.580500000000001</v>
      </c>
      <c r="AZ360">
        <v>17.280799999999999</v>
      </c>
      <c r="BA360">
        <v>28.977499999999999</v>
      </c>
      <c r="BB360">
        <v>20.305499999999999</v>
      </c>
      <c r="BD360">
        <v>17.346</v>
      </c>
    </row>
    <row r="361" spans="1:56">
      <c r="A361" s="17">
        <v>45927</v>
      </c>
      <c r="B361" s="10">
        <v>32.143700000000003</v>
      </c>
      <c r="C361">
        <v>17.071300000000001</v>
      </c>
      <c r="D361">
        <v>62.850999999999999</v>
      </c>
      <c r="E361">
        <v>12.2089</v>
      </c>
      <c r="G361">
        <v>16.719799999999999</v>
      </c>
      <c r="L361" s="10">
        <v>17.547499999999999</v>
      </c>
      <c r="M361" s="10">
        <v>23.038900000000002</v>
      </c>
      <c r="N361" s="10">
        <v>10.739599999999999</v>
      </c>
      <c r="Q361" s="10">
        <v>21.464600000000001</v>
      </c>
      <c r="R361" s="10">
        <v>10.3309</v>
      </c>
      <c r="S361" s="10">
        <v>64.6858</v>
      </c>
      <c r="T361" s="10">
        <v>24.9833</v>
      </c>
      <c r="U361" s="10">
        <v>29.686699999999998</v>
      </c>
      <c r="V361" s="10">
        <v>15.074</v>
      </c>
      <c r="W361" s="10">
        <v>16.019300000000001</v>
      </c>
      <c r="X361" s="10">
        <v>9.7466000000000008</v>
      </c>
      <c r="Y361" s="10"/>
      <c r="Z361" s="10"/>
      <c r="AA361" s="10">
        <v>27.1784</v>
      </c>
      <c r="AB361" s="10"/>
      <c r="AC361" s="10">
        <v>15.675599999999999</v>
      </c>
      <c r="AD361" s="10">
        <v>10.5862</v>
      </c>
      <c r="AG361" s="10">
        <v>10.450699999999999</v>
      </c>
      <c r="AH361" s="10">
        <v>12.8872</v>
      </c>
      <c r="AI361" s="10">
        <v>11.4504</v>
      </c>
      <c r="AJ361" s="10">
        <v>26.095099999999999</v>
      </c>
      <c r="AK361" s="10">
        <v>27.382100000000001</v>
      </c>
      <c r="AM361" s="10">
        <v>11.889699999999999</v>
      </c>
      <c r="AN361" s="10">
        <v>10.413</v>
      </c>
      <c r="AO361" s="10">
        <v>6.1475999999999997</v>
      </c>
      <c r="AP361" s="10">
        <v>7.1859999999999999</v>
      </c>
      <c r="AU361">
        <v>20.186499999999999</v>
      </c>
      <c r="AZ361">
        <v>17.728300000000001</v>
      </c>
      <c r="BA361">
        <v>28.842199999999998</v>
      </c>
      <c r="BB361">
        <v>20.220600000000001</v>
      </c>
      <c r="BD361">
        <v>17.193899999999999</v>
      </c>
    </row>
    <row r="362" spans="1:56">
      <c r="A362" s="17">
        <v>45934</v>
      </c>
      <c r="B362" s="10">
        <v>32.3506</v>
      </c>
      <c r="C362">
        <v>16.980599999999999</v>
      </c>
      <c r="D362">
        <v>63.257599999999996</v>
      </c>
      <c r="E362">
        <v>12.4497</v>
      </c>
      <c r="G362">
        <v>16.927700000000002</v>
      </c>
      <c r="L362" s="10">
        <v>18.302199999999999</v>
      </c>
      <c r="M362" s="10">
        <v>23.688099999999999</v>
      </c>
      <c r="N362" s="10">
        <v>10.898</v>
      </c>
      <c r="Q362" s="10">
        <v>21.6205</v>
      </c>
      <c r="R362" s="10">
        <v>10.3636</v>
      </c>
      <c r="S362" s="10">
        <v>65.348500000000001</v>
      </c>
      <c r="T362" s="10">
        <v>25.817</v>
      </c>
      <c r="U362" s="10">
        <v>30.053899999999999</v>
      </c>
      <c r="V362" s="10">
        <v>15.865</v>
      </c>
      <c r="W362" s="10">
        <v>17.577500000000001</v>
      </c>
      <c r="X362" s="10">
        <v>9.5</v>
      </c>
      <c r="Y362" s="10"/>
      <c r="Z362" s="10"/>
      <c r="AA362" s="10">
        <v>27.725999999999999</v>
      </c>
      <c r="AB362" s="10"/>
      <c r="AC362" s="10">
        <v>15.9748</v>
      </c>
      <c r="AD362" s="10">
        <v>10.526300000000001</v>
      </c>
      <c r="AG362" s="10">
        <v>10.329499999999999</v>
      </c>
      <c r="AH362" s="10">
        <v>13.0496</v>
      </c>
      <c r="AI362" s="10">
        <v>11.402900000000001</v>
      </c>
      <c r="AJ362" s="10">
        <v>26.8127</v>
      </c>
      <c r="AK362" s="10">
        <v>27.483699999999999</v>
      </c>
      <c r="AM362" s="10">
        <v>11.982699999999999</v>
      </c>
      <c r="AN362" s="10">
        <v>10.4217</v>
      </c>
      <c r="AO362" s="10">
        <v>6.2937000000000003</v>
      </c>
      <c r="AP362" s="10">
        <v>7.2830000000000004</v>
      </c>
      <c r="AU362">
        <v>20.8078</v>
      </c>
      <c r="AZ362">
        <v>18.232399999999998</v>
      </c>
      <c r="BA362">
        <v>29.316099999999999</v>
      </c>
      <c r="BB362">
        <v>20.545000000000002</v>
      </c>
      <c r="BD362">
        <v>17.7638</v>
      </c>
    </row>
    <row r="363" spans="1:56">
      <c r="A363" s="17">
        <v>45941</v>
      </c>
      <c r="B363" s="10">
        <v>32.271900000000002</v>
      </c>
      <c r="C363">
        <v>17.097100000000001</v>
      </c>
      <c r="D363">
        <v>63.102200000000003</v>
      </c>
      <c r="E363">
        <v>12.435499999999999</v>
      </c>
      <c r="G363">
        <v>16.869199999999999</v>
      </c>
      <c r="L363" s="10">
        <v>18.805099999999999</v>
      </c>
      <c r="M363" s="10">
        <v>24.463200000000001</v>
      </c>
      <c r="N363" s="10">
        <v>10.9985</v>
      </c>
      <c r="Q363" s="10">
        <v>21.569199999999999</v>
      </c>
      <c r="R363" s="10">
        <v>10.3461</v>
      </c>
      <c r="S363" s="10">
        <v>65.357299999999995</v>
      </c>
      <c r="T363" s="10">
        <v>26.898499999999999</v>
      </c>
      <c r="U363" s="10">
        <v>30.797000000000001</v>
      </c>
      <c r="V363" s="10">
        <v>15.5686</v>
      </c>
      <c r="W363" s="10">
        <v>19.008800000000001</v>
      </c>
      <c r="X363" s="10">
        <v>9.6181999999999999</v>
      </c>
      <c r="Y363" s="10"/>
      <c r="Z363" s="10"/>
      <c r="AA363" s="10">
        <v>27.9407</v>
      </c>
      <c r="AB363" s="10"/>
      <c r="AC363" s="10">
        <v>15.9786</v>
      </c>
      <c r="AD363" s="10">
        <v>10.873900000000001</v>
      </c>
      <c r="AG363" s="10">
        <v>10.9214</v>
      </c>
      <c r="AH363" s="10">
        <v>12.8995</v>
      </c>
      <c r="AI363" s="10">
        <v>11.1759</v>
      </c>
      <c r="AJ363" s="10">
        <v>27.666399999999999</v>
      </c>
      <c r="AK363" s="10">
        <v>27.4422</v>
      </c>
      <c r="AM363" s="10">
        <v>11.968400000000001</v>
      </c>
      <c r="AN363" s="10">
        <v>10.370900000000001</v>
      </c>
      <c r="AO363" s="10">
        <v>6.2375999999999996</v>
      </c>
      <c r="AP363" s="10">
        <v>7.3753000000000002</v>
      </c>
      <c r="AU363">
        <v>21.601900000000001</v>
      </c>
      <c r="AZ363">
        <v>18.835699999999999</v>
      </c>
      <c r="BA363">
        <v>29.390599999999999</v>
      </c>
      <c r="BB363">
        <v>20.5959</v>
      </c>
      <c r="BD363">
        <v>17.867999999999999</v>
      </c>
    </row>
    <row r="364" spans="1:56">
      <c r="A364" s="17">
        <v>45948</v>
      </c>
      <c r="B364" s="10">
        <v>31.998200000000001</v>
      </c>
      <c r="C364">
        <v>17.044599999999999</v>
      </c>
      <c r="D364">
        <v>62.588700000000003</v>
      </c>
      <c r="E364">
        <v>12.399900000000001</v>
      </c>
      <c r="G364">
        <v>16.662299999999998</v>
      </c>
      <c r="H364">
        <v>11.850300000000001</v>
      </c>
      <c r="L364" s="10">
        <v>18.5639</v>
      </c>
      <c r="M364" s="10">
        <v>26.6174</v>
      </c>
      <c r="N364" s="10">
        <v>10.6927</v>
      </c>
      <c r="Q364" s="10">
        <v>21.39</v>
      </c>
      <c r="R364" s="10">
        <v>10.233599999999999</v>
      </c>
      <c r="S364" s="10">
        <v>64.52</v>
      </c>
      <c r="T364" s="10">
        <v>29.185600000000001</v>
      </c>
      <c r="U364" s="10">
        <v>30.4481</v>
      </c>
      <c r="V364" s="10">
        <v>14.6973</v>
      </c>
      <c r="W364" s="10">
        <v>17.974900000000002</v>
      </c>
      <c r="X364" s="10">
        <v>9.4236000000000004</v>
      </c>
      <c r="Y364" s="10"/>
      <c r="Z364" s="10"/>
      <c r="AA364" s="10">
        <v>27.443899999999999</v>
      </c>
      <c r="AB364" s="10"/>
      <c r="AC364" s="10">
        <v>15.823499999999999</v>
      </c>
      <c r="AD364" s="10">
        <v>10.6112</v>
      </c>
      <c r="AG364" s="10">
        <v>10.771000000000001</v>
      </c>
      <c r="AH364" s="10">
        <v>12.797000000000001</v>
      </c>
      <c r="AI364" s="10">
        <v>10.8979</v>
      </c>
      <c r="AJ364" s="10">
        <v>30.033799999999999</v>
      </c>
      <c r="AK364" s="10">
        <v>27.2989</v>
      </c>
      <c r="AM364" s="10">
        <v>11.893000000000001</v>
      </c>
      <c r="AN364" s="10">
        <v>10.2593</v>
      </c>
      <c r="AO364" s="10">
        <v>5.9537000000000004</v>
      </c>
      <c r="AP364" s="10">
        <v>7.1994999999999996</v>
      </c>
      <c r="AU364">
        <v>23.485399999999998</v>
      </c>
      <c r="AZ364">
        <v>20.505199999999999</v>
      </c>
      <c r="BA364">
        <v>28.916599999999999</v>
      </c>
      <c r="BB364">
        <v>20.2681</v>
      </c>
      <c r="BD364">
        <v>17.8886</v>
      </c>
    </row>
    <row r="365" spans="1:56">
      <c r="A365" s="17">
        <v>45955</v>
      </c>
      <c r="B365" s="10">
        <v>32.764499999999998</v>
      </c>
      <c r="C365">
        <v>17.180199999999999</v>
      </c>
      <c r="D365">
        <v>64.060400000000001</v>
      </c>
      <c r="E365">
        <v>12.455</v>
      </c>
      <c r="G365">
        <v>16.840900000000001</v>
      </c>
      <c r="H365">
        <v>11.8363</v>
      </c>
      <c r="L365" s="10">
        <v>18.576799999999999</v>
      </c>
      <c r="M365" s="10">
        <v>24.837</v>
      </c>
      <c r="N365" s="10">
        <v>10.693099999999999</v>
      </c>
      <c r="Q365" s="10">
        <v>21.943000000000001</v>
      </c>
      <c r="R365" s="10">
        <v>10.462999999999999</v>
      </c>
      <c r="S365" s="10">
        <v>66.436400000000006</v>
      </c>
      <c r="T365" s="10">
        <v>27.374099999999999</v>
      </c>
      <c r="U365" s="10">
        <v>31.129000000000001</v>
      </c>
      <c r="V365" s="10">
        <v>15.234400000000001</v>
      </c>
      <c r="W365" s="10">
        <v>17.0319</v>
      </c>
      <c r="X365" s="10">
        <v>9.6996000000000002</v>
      </c>
      <c r="Y365" s="10"/>
      <c r="Z365" s="10"/>
      <c r="AA365" s="10">
        <v>27.6845</v>
      </c>
      <c r="AB365" s="10"/>
      <c r="AC365" s="10">
        <v>15.936199999999999</v>
      </c>
      <c r="AD365" s="10">
        <v>10.789400000000001</v>
      </c>
      <c r="AG365" s="10">
        <v>10.530200000000001</v>
      </c>
      <c r="AH365" s="10">
        <v>13.336</v>
      </c>
      <c r="AI365" s="10">
        <v>10.9932</v>
      </c>
      <c r="AJ365" s="10">
        <v>28.0779</v>
      </c>
      <c r="AK365" s="10">
        <v>27.587700000000002</v>
      </c>
      <c r="AM365" s="10">
        <v>12.1921</v>
      </c>
      <c r="AN365" s="10">
        <v>10.5739</v>
      </c>
      <c r="AO365" s="10">
        <v>5.9272999999999998</v>
      </c>
      <c r="AP365" s="10">
        <v>7.2876000000000003</v>
      </c>
      <c r="AU365">
        <v>21.957899999999999</v>
      </c>
      <c r="AZ365">
        <v>19.139800000000001</v>
      </c>
      <c r="BA365">
        <v>29.2163</v>
      </c>
      <c r="BB365">
        <v>20.479600000000001</v>
      </c>
      <c r="BD365">
        <v>17.902000000000001</v>
      </c>
    </row>
    <row r="366" spans="1:56">
      <c r="A366" s="17">
        <v>45962</v>
      </c>
      <c r="B366" s="10">
        <v>32.415500000000002</v>
      </c>
      <c r="C366">
        <v>17.244900000000001</v>
      </c>
      <c r="D366">
        <v>63.382899999999999</v>
      </c>
      <c r="E366">
        <v>12.5823</v>
      </c>
      <c r="G366">
        <v>16.565100000000001</v>
      </c>
      <c r="H366">
        <v>11.819900000000001</v>
      </c>
      <c r="L366" s="10">
        <v>19.328099999999999</v>
      </c>
      <c r="M366" s="10">
        <v>24.505099999999999</v>
      </c>
      <c r="N366" s="10">
        <v>10.775600000000001</v>
      </c>
      <c r="Q366" s="10">
        <v>21.754100000000001</v>
      </c>
      <c r="S366" s="10">
        <v>65.639300000000006</v>
      </c>
      <c r="T366" s="10">
        <v>26.674299999999999</v>
      </c>
      <c r="U366" s="10">
        <v>31.202100000000002</v>
      </c>
      <c r="V366" s="10">
        <v>14.710699999999999</v>
      </c>
      <c r="W366" s="10">
        <v>17.381699999999999</v>
      </c>
      <c r="X366" s="10">
        <v>9.4850999999999992</v>
      </c>
      <c r="Y366" s="10"/>
      <c r="Z366" s="10"/>
      <c r="AA366" s="10">
        <v>28.576799999999999</v>
      </c>
      <c r="AB366" s="10"/>
      <c r="AC366" s="10">
        <v>16.147300000000001</v>
      </c>
      <c r="AD366" s="10">
        <v>10.952400000000001</v>
      </c>
      <c r="AG366" s="10">
        <v>10.3855</v>
      </c>
      <c r="AH366" s="10">
        <v>13.1412</v>
      </c>
      <c r="AI366" s="10">
        <v>10.7417</v>
      </c>
      <c r="AJ366" s="10">
        <v>27.725100000000001</v>
      </c>
      <c r="AK366" s="10">
        <v>27.4542</v>
      </c>
      <c r="AM366" s="10">
        <v>12.091799999999999</v>
      </c>
      <c r="AN366" s="10">
        <v>10.201599999999999</v>
      </c>
      <c r="AO366" s="10">
        <v>6.0923999999999996</v>
      </c>
      <c r="AP366" s="10">
        <v>7.3887</v>
      </c>
      <c r="AU366">
        <v>21.535499999999999</v>
      </c>
      <c r="AZ366">
        <v>18.8872</v>
      </c>
      <c r="BA366">
        <v>29.702100000000002</v>
      </c>
      <c r="BB366">
        <v>20.8186</v>
      </c>
      <c r="BD366">
        <v>17.956800000000001</v>
      </c>
    </row>
    <row r="367" spans="1:56">
      <c r="A367" s="17">
        <v>45969</v>
      </c>
      <c r="B367" s="10">
        <v>32.2181</v>
      </c>
      <c r="C367">
        <v>16.777999999999999</v>
      </c>
      <c r="D367">
        <v>63.001199999999997</v>
      </c>
      <c r="E367">
        <v>12.335100000000001</v>
      </c>
      <c r="G367">
        <v>16.072900000000001</v>
      </c>
      <c r="H367">
        <v>11.8147</v>
      </c>
      <c r="L367" s="10">
        <v>18.524000000000001</v>
      </c>
      <c r="M367" s="10">
        <v>24.470099999999999</v>
      </c>
      <c r="N367" s="10">
        <v>10.763199999999999</v>
      </c>
      <c r="Q367" s="10">
        <v>21.616</v>
      </c>
      <c r="R367" s="10">
        <v>10.2965</v>
      </c>
      <c r="S367" s="10">
        <v>65.027299999999997</v>
      </c>
      <c r="T367" s="10">
        <v>26.6602</v>
      </c>
      <c r="U367" s="10">
        <v>30.633199999999999</v>
      </c>
      <c r="V367" s="10">
        <v>14.6288</v>
      </c>
      <c r="W367" s="10">
        <v>16.531099999999999</v>
      </c>
      <c r="X367" s="10">
        <v>9.4562000000000008</v>
      </c>
      <c r="Y367" s="10"/>
      <c r="Z367" s="10"/>
      <c r="AA367" s="10">
        <v>27.912600000000001</v>
      </c>
      <c r="AB367" s="10"/>
      <c r="AC367" s="10">
        <v>15.9346</v>
      </c>
      <c r="AD367" s="10">
        <v>10.607900000000001</v>
      </c>
      <c r="AG367" s="10">
        <v>9.9920000000000009</v>
      </c>
      <c r="AH367" s="10">
        <v>13.2746</v>
      </c>
      <c r="AI367" s="10">
        <v>10.529500000000001</v>
      </c>
      <c r="AJ367" s="10">
        <v>27.684000000000001</v>
      </c>
      <c r="AK367" s="10">
        <v>27.350999999999999</v>
      </c>
      <c r="AM367" s="10">
        <v>12.0212</v>
      </c>
      <c r="AN367" s="10">
        <v>10.0672</v>
      </c>
      <c r="AO367" s="10">
        <v>6.0570000000000004</v>
      </c>
      <c r="AP367" s="10">
        <v>7.2149000000000001</v>
      </c>
      <c r="AU367">
        <v>21.5091</v>
      </c>
      <c r="AZ367">
        <v>18.860600000000002</v>
      </c>
      <c r="BA367">
        <v>29.259599999999999</v>
      </c>
      <c r="BB367">
        <v>20.510200000000001</v>
      </c>
      <c r="BD367">
        <v>17.718599999999999</v>
      </c>
    </row>
    <row r="368" spans="1:56">
      <c r="A368" s="17">
        <v>45976</v>
      </c>
      <c r="B368" s="10">
        <v>31.3612</v>
      </c>
      <c r="C368">
        <v>16.985800000000001</v>
      </c>
      <c r="D368">
        <v>61.366700000000002</v>
      </c>
      <c r="E368">
        <v>12.5585</v>
      </c>
      <c r="G368">
        <v>16.351800000000001</v>
      </c>
      <c r="H368">
        <v>11.8179</v>
      </c>
      <c r="L368" s="10">
        <v>18.258099999999999</v>
      </c>
      <c r="M368" s="10">
        <v>25.5029</v>
      </c>
      <c r="N368" s="10">
        <v>10.91</v>
      </c>
      <c r="Q368" s="10">
        <v>21.285699999999999</v>
      </c>
      <c r="R368" s="10">
        <v>10.151899999999999</v>
      </c>
      <c r="S368" s="10">
        <v>63.839700000000001</v>
      </c>
      <c r="T368" s="10">
        <v>27.820900000000002</v>
      </c>
      <c r="U368" s="10">
        <v>30.535499999999999</v>
      </c>
      <c r="V368" s="10">
        <v>14.7478</v>
      </c>
      <c r="W368" s="10">
        <v>14.7971</v>
      </c>
      <c r="X368" s="10">
        <v>9.4132999999999996</v>
      </c>
      <c r="Y368" s="10"/>
      <c r="Z368" s="10"/>
      <c r="AA368" s="10">
        <v>27.7468</v>
      </c>
      <c r="AB368" s="10"/>
      <c r="AC368" s="10">
        <v>16.010200000000001</v>
      </c>
      <c r="AD368" s="10">
        <v>10.483700000000001</v>
      </c>
      <c r="AG368" s="10">
        <v>10.1508</v>
      </c>
      <c r="AH368" s="10">
        <v>13.1935</v>
      </c>
      <c r="AI368" s="10">
        <v>10.258100000000001</v>
      </c>
      <c r="AJ368" s="10">
        <v>28.839200000000002</v>
      </c>
      <c r="AK368" s="10">
        <v>27.020800000000001</v>
      </c>
      <c r="AM368" s="10">
        <v>11.8139</v>
      </c>
      <c r="AN368" s="10">
        <v>10.035500000000001</v>
      </c>
      <c r="AO368" s="10">
        <v>6.0891000000000002</v>
      </c>
      <c r="AP368" s="10">
        <v>7.2290000000000001</v>
      </c>
      <c r="AU368">
        <v>22.426400000000001</v>
      </c>
      <c r="AZ368">
        <v>19.675799999999999</v>
      </c>
      <c r="BA368">
        <v>29.319099999999999</v>
      </c>
      <c r="BB368">
        <v>20.552800000000001</v>
      </c>
      <c r="BD368">
        <v>18.139500000000002</v>
      </c>
    </row>
    <row r="369" spans="1:56">
      <c r="A369" s="17">
        <v>45984</v>
      </c>
      <c r="B369" s="10">
        <v>30.873799999999999</v>
      </c>
      <c r="C369">
        <v>16.491800000000001</v>
      </c>
      <c r="D369">
        <v>60.43</v>
      </c>
      <c r="E369">
        <v>12.25</v>
      </c>
      <c r="G369">
        <v>15.958</v>
      </c>
      <c r="H369">
        <v>11.845599999999999</v>
      </c>
      <c r="L369" s="10">
        <v>18.058800000000002</v>
      </c>
      <c r="M369" s="10">
        <v>24.670300000000001</v>
      </c>
      <c r="N369" s="10">
        <v>10.4603</v>
      </c>
      <c r="Q369" s="10">
        <v>21.146599999999999</v>
      </c>
      <c r="R369" s="10">
        <v>10.119999999999999</v>
      </c>
      <c r="S369" s="10">
        <v>63.151800000000001</v>
      </c>
      <c r="T369" s="10">
        <v>26.990400000000001</v>
      </c>
      <c r="U369" s="10">
        <v>29.162800000000001</v>
      </c>
      <c r="V369" s="10">
        <v>13.962199999999999</v>
      </c>
      <c r="W369" s="10">
        <v>13.5097</v>
      </c>
      <c r="X369" s="10">
        <v>8.9215</v>
      </c>
      <c r="Y369" s="10"/>
      <c r="Z369" s="10"/>
      <c r="AA369" s="10">
        <v>26.743099999999998</v>
      </c>
      <c r="AB369" s="10"/>
      <c r="AC369" s="10">
        <v>15.4948</v>
      </c>
      <c r="AD369" s="10">
        <v>10.3222</v>
      </c>
      <c r="AG369" s="10">
        <v>10.184699999999999</v>
      </c>
      <c r="AH369" s="10">
        <v>12.7782</v>
      </c>
      <c r="AI369" s="10">
        <v>10.177199999999999</v>
      </c>
      <c r="AJ369" s="10">
        <v>27.915199999999999</v>
      </c>
      <c r="AK369" s="10">
        <v>26.9163</v>
      </c>
      <c r="AM369" s="10">
        <v>11.727499999999999</v>
      </c>
      <c r="AN369" s="10">
        <v>10.124700000000001</v>
      </c>
      <c r="AO369" s="10">
        <v>5.7961</v>
      </c>
      <c r="AP369" s="10">
        <v>6.9314999999999998</v>
      </c>
      <c r="AU369">
        <v>21.7271</v>
      </c>
      <c r="AZ369">
        <v>19.0275</v>
      </c>
      <c r="BA369">
        <v>28.471699999999998</v>
      </c>
      <c r="BB369">
        <v>19.966699999999999</v>
      </c>
      <c r="BD369">
        <v>17.5959</v>
      </c>
    </row>
    <row r="370" spans="1:56">
      <c r="A370" s="17">
        <v>45990</v>
      </c>
      <c r="B370" s="10">
        <v>31.0289</v>
      </c>
      <c r="C370">
        <v>17.444700000000001</v>
      </c>
      <c r="D370">
        <v>60.735399999999998</v>
      </c>
      <c r="E370">
        <v>12.5031</v>
      </c>
      <c r="G370">
        <v>16.210799999999999</v>
      </c>
      <c r="H370">
        <v>11.8491</v>
      </c>
      <c r="L370" s="10">
        <v>17.892299999999999</v>
      </c>
      <c r="M370" s="10">
        <v>25.3369</v>
      </c>
      <c r="N370" s="10">
        <v>10.5665</v>
      </c>
      <c r="Q370" s="10">
        <v>21.215699999999998</v>
      </c>
      <c r="R370" s="10">
        <v>10.1432</v>
      </c>
      <c r="S370" s="10">
        <v>64.411600000000007</v>
      </c>
      <c r="T370" s="10">
        <v>27.511299999999999</v>
      </c>
      <c r="U370" s="10">
        <v>29.732399999999998</v>
      </c>
      <c r="V370" s="10">
        <v>14.2591</v>
      </c>
      <c r="W370" s="10">
        <v>15</v>
      </c>
      <c r="X370" s="10">
        <v>9.2255000000000003</v>
      </c>
      <c r="Y370" s="10"/>
      <c r="Z370" s="10"/>
      <c r="AA370" s="10">
        <v>27.9787</v>
      </c>
      <c r="AB370" s="10"/>
      <c r="AC370" s="10">
        <v>16.055599999999998</v>
      </c>
      <c r="AD370" s="10">
        <v>10.2547</v>
      </c>
      <c r="AG370" s="10">
        <v>10.0389</v>
      </c>
      <c r="AH370" s="10">
        <v>12.9915</v>
      </c>
      <c r="AI370" s="10">
        <v>10.265599999999999</v>
      </c>
      <c r="AJ370" s="10">
        <v>28.648299999999999</v>
      </c>
      <c r="AK370" s="10">
        <v>26.9955</v>
      </c>
      <c r="AM370" s="10">
        <v>11.820600000000001</v>
      </c>
      <c r="AN370" s="10">
        <v>10.204800000000001</v>
      </c>
      <c r="AO370" s="10">
        <v>5.8060999999999998</v>
      </c>
      <c r="AP370" s="10">
        <v>6.9737999999999998</v>
      </c>
      <c r="AQ370">
        <v>7.8067000000000002</v>
      </c>
      <c r="AR370" s="10">
        <v>15.7879</v>
      </c>
      <c r="AS370" s="10">
        <v>10.3752</v>
      </c>
      <c r="AT370" s="10">
        <v>10.124000000000001</v>
      </c>
      <c r="AU370">
        <v>22.2302</v>
      </c>
      <c r="AV370" s="10">
        <v>23.415099999999999</v>
      </c>
      <c r="AW370" s="10">
        <v>15.896599999999999</v>
      </c>
      <c r="AX370" s="10">
        <v>26.387499999999999</v>
      </c>
      <c r="AZ370">
        <v>19.542300000000001</v>
      </c>
      <c r="BA370">
        <v>29.578499999999998</v>
      </c>
      <c r="BB370">
        <v>20.735299999999999</v>
      </c>
      <c r="BD370">
        <v>17.935500000000001</v>
      </c>
    </row>
    <row r="371" spans="1:56">
      <c r="A371" s="17">
        <v>45997</v>
      </c>
      <c r="B371" s="10">
        <v>31.576699999999999</v>
      </c>
      <c r="C371">
        <v>17.254200000000001</v>
      </c>
      <c r="D371">
        <v>61.783099999999997</v>
      </c>
      <c r="E371">
        <v>12.484500000000001</v>
      </c>
      <c r="G371">
        <v>16.156099999999999</v>
      </c>
      <c r="H371">
        <v>11.8713</v>
      </c>
      <c r="L371" s="10">
        <v>18.0869</v>
      </c>
      <c r="M371" s="10">
        <v>25.479299999999999</v>
      </c>
      <c r="N371" s="10">
        <v>10.6242</v>
      </c>
      <c r="Q371" s="10">
        <v>21.453199999999999</v>
      </c>
      <c r="R371" s="10">
        <v>10.279199999999999</v>
      </c>
      <c r="S371" s="10">
        <v>64.2684</v>
      </c>
      <c r="T371" s="10">
        <v>27.556699999999999</v>
      </c>
      <c r="U371" s="10">
        <v>29.8443</v>
      </c>
      <c r="V371" s="10">
        <v>14.237299999999999</v>
      </c>
      <c r="W371" s="10">
        <v>15.1716</v>
      </c>
      <c r="X371" s="10">
        <v>9.1236999999999995</v>
      </c>
      <c r="Y371" s="10"/>
      <c r="Z371" s="10"/>
      <c r="AA371" s="10">
        <v>27.823899999999998</v>
      </c>
      <c r="AB371" s="10"/>
      <c r="AC371" s="10">
        <v>16.128599999999999</v>
      </c>
      <c r="AD371" s="10">
        <v>10.3171</v>
      </c>
      <c r="AG371" s="10">
        <v>10.3066</v>
      </c>
      <c r="AH371" s="10">
        <v>13.021599999999999</v>
      </c>
      <c r="AI371" s="10">
        <v>10.3863</v>
      </c>
      <c r="AJ371" s="10">
        <v>28.807600000000001</v>
      </c>
      <c r="AK371" s="10">
        <v>27.155200000000001</v>
      </c>
      <c r="AM371" s="10">
        <v>11.96</v>
      </c>
      <c r="AN371" s="10">
        <v>10.366400000000001</v>
      </c>
      <c r="AO371" s="10">
        <v>5.7678000000000003</v>
      </c>
      <c r="AP371" s="10">
        <v>7.0201000000000002</v>
      </c>
      <c r="AQ371" s="10">
        <v>7.7999000000000001</v>
      </c>
      <c r="AR371" s="10">
        <v>15.9291</v>
      </c>
      <c r="AS371" s="10">
        <v>10.5945</v>
      </c>
      <c r="AT371" s="10">
        <v>9.9819999999999993</v>
      </c>
      <c r="AU371" s="10">
        <v>22.3096</v>
      </c>
      <c r="AV371" s="10">
        <v>23.372699999999998</v>
      </c>
      <c r="AW371" s="10">
        <v>16.819500000000001</v>
      </c>
      <c r="AX371" s="10">
        <v>26.816099999999999</v>
      </c>
      <c r="AZ371">
        <v>19.6601</v>
      </c>
      <c r="BA371">
        <v>29.720500000000001</v>
      </c>
      <c r="BB371">
        <v>20.832999999999998</v>
      </c>
      <c r="BD371">
        <v>17.966699999999999</v>
      </c>
    </row>
    <row r="372" spans="1:56">
      <c r="A372" s="17">
        <v>46004</v>
      </c>
      <c r="B372" s="10">
        <v>31.474299999999999</v>
      </c>
      <c r="C372">
        <v>17.610600000000002</v>
      </c>
      <c r="D372">
        <v>61.584899999999998</v>
      </c>
      <c r="E372">
        <v>12.614699999999999</v>
      </c>
      <c r="G372">
        <v>16.070599999999999</v>
      </c>
      <c r="H372">
        <v>11.8629</v>
      </c>
      <c r="L372" s="10">
        <v>18.161300000000001</v>
      </c>
      <c r="M372" s="10">
        <v>26.1143</v>
      </c>
      <c r="N372" s="10">
        <v>10.494</v>
      </c>
      <c r="Q372" s="10">
        <v>21.370899999999999</v>
      </c>
      <c r="R372" s="10">
        <v>10.3209</v>
      </c>
      <c r="S372" s="10">
        <v>64.040700000000001</v>
      </c>
      <c r="T372" s="10">
        <v>27.936699999999998</v>
      </c>
      <c r="U372" s="10">
        <v>30.472300000000001</v>
      </c>
      <c r="V372" s="10">
        <v>14.257899999999999</v>
      </c>
      <c r="W372" s="10">
        <v>15.5746</v>
      </c>
      <c r="X372" s="10">
        <v>9.1125000000000007</v>
      </c>
      <c r="Y372" s="10"/>
      <c r="Z372" s="10"/>
      <c r="AA372" s="10">
        <v>27.867100000000001</v>
      </c>
      <c r="AB372" s="10"/>
      <c r="AC372" s="10">
        <v>16.265599999999999</v>
      </c>
      <c r="AD372" s="10">
        <v>10.273400000000001</v>
      </c>
      <c r="AG372" s="10">
        <v>9.5347000000000008</v>
      </c>
      <c r="AH372" s="10">
        <v>13.094200000000001</v>
      </c>
      <c r="AI372" s="10">
        <v>10.3161</v>
      </c>
      <c r="AJ372" s="10">
        <v>29.515499999999999</v>
      </c>
      <c r="AK372" s="10">
        <v>27.1052</v>
      </c>
      <c r="AM372" s="10">
        <v>11.895099999999999</v>
      </c>
      <c r="AN372" s="10">
        <v>10.314299999999999</v>
      </c>
      <c r="AO372" s="10">
        <v>5.7424999999999997</v>
      </c>
      <c r="AP372" s="10">
        <v>7.0652999999999997</v>
      </c>
      <c r="AQ372" s="10">
        <v>7.7558999999999996</v>
      </c>
      <c r="AR372" s="10">
        <v>15.6244</v>
      </c>
      <c r="AS372" s="10">
        <v>10.5235</v>
      </c>
      <c r="AT372" s="10">
        <v>10.142200000000001</v>
      </c>
      <c r="AU372" s="10">
        <v>22.753</v>
      </c>
      <c r="AV372" s="10">
        <v>23.2865</v>
      </c>
      <c r="AW372" s="10">
        <v>16.888400000000001</v>
      </c>
      <c r="AX372" s="10">
        <v>26.706299999999999</v>
      </c>
      <c r="AZ372">
        <v>20.1587</v>
      </c>
      <c r="BA372">
        <v>28.605699999999999</v>
      </c>
      <c r="BB372">
        <v>20.959700000000002</v>
      </c>
      <c r="BD372">
        <v>18.106400000000001</v>
      </c>
    </row>
    <row r="373" spans="1:56">
      <c r="A373" s="17">
        <v>46011</v>
      </c>
      <c r="B373" s="10">
        <v>31.398199999999999</v>
      </c>
      <c r="C373">
        <v>17.335699999999999</v>
      </c>
      <c r="D373">
        <v>61.429200000000002</v>
      </c>
      <c r="E373">
        <v>12.4291</v>
      </c>
      <c r="G373">
        <v>16.180199999999999</v>
      </c>
      <c r="H373">
        <v>11.878399999999999</v>
      </c>
      <c r="L373" s="10">
        <v>17.5137</v>
      </c>
      <c r="M373" s="10">
        <v>26.163699999999999</v>
      </c>
      <c r="N373" s="10">
        <v>10.382099999999999</v>
      </c>
      <c r="Q373" s="10">
        <v>21.436800000000002</v>
      </c>
      <c r="R373" s="10">
        <v>10.2637</v>
      </c>
      <c r="S373" s="10">
        <v>64.130700000000004</v>
      </c>
      <c r="T373" s="10">
        <v>27.874700000000001</v>
      </c>
      <c r="U373" s="10">
        <v>29.745000000000001</v>
      </c>
      <c r="V373" s="10">
        <v>13.9489</v>
      </c>
      <c r="W373" s="10">
        <v>13.707700000000001</v>
      </c>
      <c r="X373" s="10">
        <v>9.3640000000000008</v>
      </c>
      <c r="Y373" s="10"/>
      <c r="Z373" s="10"/>
      <c r="AA373" s="10">
        <v>27.151700000000002</v>
      </c>
      <c r="AB373" s="10"/>
      <c r="AC373" s="10">
        <v>15.9899</v>
      </c>
      <c r="AD373" s="10">
        <v>10.021100000000001</v>
      </c>
      <c r="AG373" s="10">
        <v>9.7946000000000009</v>
      </c>
      <c r="AH373" s="10">
        <v>13.046099999999999</v>
      </c>
      <c r="AI373" s="10">
        <v>10.331899999999999</v>
      </c>
      <c r="AJ373" s="10">
        <v>29.576000000000001</v>
      </c>
      <c r="AK373" s="10">
        <v>27.1112</v>
      </c>
      <c r="AM373" s="10">
        <v>11.8918</v>
      </c>
      <c r="AN373" s="10">
        <v>10.3848</v>
      </c>
      <c r="AO373" s="10">
        <v>5.7016999999999998</v>
      </c>
      <c r="AP373" s="10">
        <v>6.8384</v>
      </c>
      <c r="AQ373" s="10">
        <v>7.6040000000000001</v>
      </c>
      <c r="AR373" s="10">
        <v>15.3544</v>
      </c>
      <c r="AS373" s="10">
        <v>10.6205</v>
      </c>
      <c r="AT373" s="10">
        <v>10.1732</v>
      </c>
      <c r="AU373" s="10">
        <v>22.7468</v>
      </c>
      <c r="AV373" s="10">
        <v>23.602799999999998</v>
      </c>
      <c r="AW373" s="10">
        <v>17.743400000000001</v>
      </c>
      <c r="AX373" s="10">
        <v>25.975000000000001</v>
      </c>
      <c r="AZ373">
        <v>20.206800000000001</v>
      </c>
      <c r="BA373">
        <v>28.061800000000002</v>
      </c>
      <c r="BB373">
        <v>20.584399999999999</v>
      </c>
      <c r="BD373">
        <v>18.198899999999998</v>
      </c>
    </row>
    <row r="374" spans="1:56">
      <c r="A374" s="17">
        <v>46018</v>
      </c>
      <c r="C374">
        <v>17.677299999999999</v>
      </c>
      <c r="D374">
        <v>61.645000000000003</v>
      </c>
      <c r="E374">
        <v>12.5487</v>
      </c>
      <c r="G374">
        <v>16.2456</v>
      </c>
      <c r="H374">
        <v>11.884399999999999</v>
      </c>
      <c r="L374" s="10">
        <v>17.8371</v>
      </c>
      <c r="M374" s="10">
        <v>27.261700000000001</v>
      </c>
      <c r="N374" s="10">
        <v>10.4923</v>
      </c>
      <c r="R374">
        <v>10.3188</v>
      </c>
      <c r="S374" s="10">
        <v>64.546199999999999</v>
      </c>
      <c r="T374" s="10">
        <v>28.767199999999999</v>
      </c>
      <c r="U374" s="10">
        <v>30.110900000000001</v>
      </c>
      <c r="V374" s="10">
        <v>13.7309</v>
      </c>
      <c r="W374" s="10">
        <v>14.36</v>
      </c>
      <c r="X374" s="10">
        <v>9.4032</v>
      </c>
      <c r="Y374" s="10"/>
      <c r="Z374" s="10"/>
      <c r="AA374" s="10">
        <v>27.7532</v>
      </c>
      <c r="AB374" s="10"/>
      <c r="AC374" s="10">
        <v>16.282299999999999</v>
      </c>
      <c r="AD374" s="10">
        <v>10.0959</v>
      </c>
      <c r="AG374" s="10">
        <v>9.7738999999999994</v>
      </c>
      <c r="AH374" s="10">
        <v>13.1929</v>
      </c>
      <c r="AI374" s="10">
        <v>10.382099999999999</v>
      </c>
      <c r="AJ374" s="10">
        <v>30.795500000000001</v>
      </c>
      <c r="AK374" s="10">
        <v>27.196000000000002</v>
      </c>
      <c r="AN374" s="10">
        <v>10.442399999999999</v>
      </c>
      <c r="AO374" s="10">
        <v>5.7671000000000001</v>
      </c>
      <c r="AP374" s="10">
        <v>7.0484</v>
      </c>
      <c r="AQ374" s="10">
        <v>7.5971000000000002</v>
      </c>
      <c r="AR374" s="10">
        <v>15.8079</v>
      </c>
      <c r="AS374" s="10">
        <v>10.701700000000001</v>
      </c>
      <c r="AT374" s="10">
        <v>10.1934</v>
      </c>
      <c r="AU374" s="10">
        <v>23.655100000000001</v>
      </c>
      <c r="AV374" s="10">
        <v>23.589400000000001</v>
      </c>
      <c r="AW374" s="10">
        <v>18.8977</v>
      </c>
      <c r="AX374" s="10">
        <v>26.5686</v>
      </c>
      <c r="AZ374">
        <v>21.0749</v>
      </c>
      <c r="BA374">
        <v>28.6327</v>
      </c>
      <c r="BB374">
        <v>21.002500000000001</v>
      </c>
      <c r="BD374">
        <v>18.281199999999998</v>
      </c>
    </row>
    <row r="375" spans="1:56">
      <c r="A375" s="17">
        <v>46025</v>
      </c>
      <c r="C375">
        <v>17.6023</v>
      </c>
      <c r="D375">
        <v>61.5505</v>
      </c>
      <c r="E375">
        <v>12.646699999999999</v>
      </c>
      <c r="G375">
        <v>16.350200000000001</v>
      </c>
      <c r="H375">
        <v>11.897500000000001</v>
      </c>
      <c r="L375" s="10">
        <v>18.040299999999998</v>
      </c>
      <c r="M375" s="10">
        <v>26.3889</v>
      </c>
      <c r="N375" s="10">
        <v>10.491899999999999</v>
      </c>
      <c r="R375">
        <v>10.3291</v>
      </c>
      <c r="S375" s="10">
        <v>64.431600000000003</v>
      </c>
      <c r="T375" s="10">
        <v>28.1981</v>
      </c>
      <c r="U375" s="10">
        <v>30.1934</v>
      </c>
      <c r="V375" s="10">
        <v>13.9641</v>
      </c>
      <c r="W375" s="10">
        <v>13.998200000000001</v>
      </c>
      <c r="X375" s="10">
        <v>9.4220000000000006</v>
      </c>
      <c r="Y375" s="10"/>
      <c r="Z375" s="10"/>
      <c r="AA375" s="10">
        <v>27.6325</v>
      </c>
      <c r="AB375" s="10"/>
      <c r="AC375" s="10">
        <v>16.258500000000002</v>
      </c>
      <c r="AD375" s="10">
        <v>10.179500000000001</v>
      </c>
      <c r="AG375" s="10">
        <v>10.0449</v>
      </c>
      <c r="AH375" s="10">
        <v>13.2614</v>
      </c>
      <c r="AI375" s="10">
        <v>10.441700000000001</v>
      </c>
      <c r="AJ375" s="10">
        <v>29.8217</v>
      </c>
      <c r="AK375" s="10">
        <v>27.195</v>
      </c>
      <c r="AN375" s="10">
        <v>10.476599999999999</v>
      </c>
      <c r="AO375" s="10">
        <v>5.7637</v>
      </c>
      <c r="AP375" s="10">
        <v>7.0589000000000004</v>
      </c>
      <c r="AQ375" s="10">
        <v>7.6586999999999996</v>
      </c>
      <c r="AR375" s="10">
        <v>15.751200000000001</v>
      </c>
      <c r="AS375" s="10">
        <v>10.7432</v>
      </c>
      <c r="AT375" s="10">
        <v>10.2102</v>
      </c>
      <c r="AU375" s="10">
        <v>22.930499999999999</v>
      </c>
      <c r="AV375" s="10">
        <v>23.615400000000001</v>
      </c>
      <c r="AW375" s="10">
        <v>18.8977</v>
      </c>
      <c r="AX375" s="10">
        <v>26.430700000000002</v>
      </c>
      <c r="AZ375">
        <v>20.388000000000002</v>
      </c>
      <c r="BA375">
        <v>28.528600000000001</v>
      </c>
      <c r="BB375">
        <v>20.921399999999998</v>
      </c>
      <c r="BD375">
        <v>18.333300000000001</v>
      </c>
    </row>
    <row r="376" spans="1:56">
      <c r="A376" s="17">
        <v>46032</v>
      </c>
      <c r="C376">
        <v>17.506499999999999</v>
      </c>
      <c r="D376">
        <v>61.3855</v>
      </c>
      <c r="E376">
        <v>12.7807</v>
      </c>
      <c r="G376">
        <v>16.322600000000001</v>
      </c>
      <c r="H376">
        <v>11.8668</v>
      </c>
      <c r="L376" s="10">
        <v>18.316600000000001</v>
      </c>
      <c r="M376" s="10">
        <v>26.927700000000002</v>
      </c>
      <c r="N376" s="10">
        <v>10.778499999999999</v>
      </c>
      <c r="R376">
        <v>10.282999999999999</v>
      </c>
      <c r="S376" s="10">
        <v>64.252600000000001</v>
      </c>
      <c r="T376" s="10">
        <v>28.731300000000001</v>
      </c>
      <c r="U376" s="10">
        <v>31.2669</v>
      </c>
      <c r="V376" s="10">
        <v>14.050700000000001</v>
      </c>
      <c r="W376" s="10">
        <v>15.0047</v>
      </c>
      <c r="X376" s="10">
        <v>9.4116999999999997</v>
      </c>
      <c r="Y376" s="10"/>
      <c r="Z376" s="10"/>
      <c r="AA376" s="10">
        <v>27.600899999999999</v>
      </c>
      <c r="AB376" s="10"/>
      <c r="AC376" s="10">
        <v>16.398199999999999</v>
      </c>
      <c r="AD376" s="10">
        <v>10.5062</v>
      </c>
      <c r="AG376" s="10">
        <v>10.3553</v>
      </c>
      <c r="AH376" s="10">
        <v>13.3262</v>
      </c>
      <c r="AI376" s="10">
        <v>10.3843</v>
      </c>
      <c r="AJ376" s="10">
        <v>30.43</v>
      </c>
      <c r="AK376" s="10">
        <v>27.0733</v>
      </c>
      <c r="AN376" s="10">
        <v>10.472</v>
      </c>
      <c r="AO376" s="10">
        <v>5.87</v>
      </c>
      <c r="AP376" s="10">
        <v>7.0701999999999998</v>
      </c>
      <c r="AQ376" s="10">
        <v>7.7065000000000001</v>
      </c>
      <c r="AR376" s="10">
        <v>15.6136</v>
      </c>
      <c r="AS376" s="10">
        <v>10.7552</v>
      </c>
      <c r="AT376" s="10">
        <v>10.3367</v>
      </c>
      <c r="AU376" s="10">
        <v>23.396699999999999</v>
      </c>
      <c r="AV376" s="10">
        <v>24.1066</v>
      </c>
      <c r="AW376" s="10">
        <v>18.892499999999998</v>
      </c>
      <c r="AX376" s="10">
        <v>27.2163</v>
      </c>
      <c r="AZ376">
        <v>20.817599999999999</v>
      </c>
      <c r="BA376">
        <v>28.569500000000001</v>
      </c>
      <c r="BB376">
        <v>20.952400000000001</v>
      </c>
      <c r="BD376">
        <v>18.751300000000001</v>
      </c>
    </row>
    <row r="377" spans="1:56">
      <c r="A377" s="17">
        <v>46039</v>
      </c>
      <c r="C377">
        <v>17.493300000000001</v>
      </c>
      <c r="D377">
        <v>62.236400000000003</v>
      </c>
      <c r="E377">
        <v>12.964600000000001</v>
      </c>
      <c r="G377">
        <v>16.237200000000001</v>
      </c>
      <c r="H377">
        <v>11.8758</v>
      </c>
      <c r="L377" s="10">
        <v>18.818200000000001</v>
      </c>
      <c r="M377" s="10">
        <v>27.677199999999999</v>
      </c>
      <c r="N377" s="10">
        <v>10.7516</v>
      </c>
      <c r="R377">
        <v>10.422000000000001</v>
      </c>
      <c r="S377" s="10">
        <v>65.478700000000003</v>
      </c>
      <c r="T377" s="10">
        <v>29.5243</v>
      </c>
      <c r="U377" s="10">
        <v>30.908000000000001</v>
      </c>
      <c r="V377" s="10">
        <v>14.172499999999999</v>
      </c>
      <c r="W377" s="10">
        <v>15.648899999999999</v>
      </c>
      <c r="X377" s="10">
        <v>9.6555</v>
      </c>
      <c r="Y377" s="10"/>
      <c r="Z377" s="10"/>
      <c r="AA377" s="10">
        <v>27.631699999999999</v>
      </c>
      <c r="AB377" s="10"/>
      <c r="AC377" s="10">
        <v>16.5276</v>
      </c>
      <c r="AD377" s="10">
        <v>10.264699999999999</v>
      </c>
      <c r="AG377" s="10">
        <v>10.5594</v>
      </c>
      <c r="AH377" s="10">
        <v>13.138400000000001</v>
      </c>
      <c r="AI377" s="10">
        <v>10.3813</v>
      </c>
      <c r="AJ377" s="10">
        <v>31.278400000000001</v>
      </c>
      <c r="AK377" s="10">
        <v>27.271699999999999</v>
      </c>
      <c r="AN377" s="10">
        <v>10.575100000000001</v>
      </c>
      <c r="AO377" s="10">
        <v>5.9489000000000001</v>
      </c>
      <c r="AP377" s="10">
        <v>6.8673999999999999</v>
      </c>
      <c r="AQ377" s="10">
        <v>7.8449999999999998</v>
      </c>
      <c r="AR377" s="10">
        <v>15.700200000000001</v>
      </c>
      <c r="AS377" s="10">
        <v>10.900399999999999</v>
      </c>
      <c r="AT377" s="10">
        <v>10.727499999999999</v>
      </c>
      <c r="AU377" s="10">
        <v>24.0444</v>
      </c>
      <c r="AV377" s="10">
        <v>24.505099999999999</v>
      </c>
      <c r="AW377" s="10">
        <v>20.286000000000001</v>
      </c>
      <c r="AX377" s="10">
        <v>28.247299999999999</v>
      </c>
      <c r="AZ377">
        <v>21.408000000000001</v>
      </c>
      <c r="BA377">
        <v>28.679300000000001</v>
      </c>
      <c r="BB377">
        <v>21.021999999999998</v>
      </c>
      <c r="BD377">
        <v>19.068300000000001</v>
      </c>
    </row>
    <row r="378" spans="1:56">
      <c r="A378" s="17">
        <v>46046</v>
      </c>
      <c r="C378">
        <v>17.892099999999999</v>
      </c>
      <c r="D378">
        <v>63.8142</v>
      </c>
      <c r="E378">
        <v>12.882300000000001</v>
      </c>
      <c r="G378">
        <v>15.9831</v>
      </c>
      <c r="H378">
        <v>11.849600000000001</v>
      </c>
      <c r="L378" s="10">
        <v>18.681799999999999</v>
      </c>
      <c r="M378" s="10">
        <v>29.425000000000001</v>
      </c>
      <c r="N378" s="10">
        <v>10.790100000000001</v>
      </c>
      <c r="R378">
        <v>10.5189</v>
      </c>
      <c r="S378" s="10">
        <v>66.782600000000002</v>
      </c>
      <c r="T378" s="10">
        <v>31.293299999999999</v>
      </c>
      <c r="U378" s="10">
        <v>30.6526</v>
      </c>
      <c r="V378" s="10">
        <v>14.1319</v>
      </c>
      <c r="W378" s="10">
        <v>15.2194</v>
      </c>
      <c r="X378" s="10">
        <v>9.6975999999999996</v>
      </c>
      <c r="Y378" s="10"/>
      <c r="Z378" s="10"/>
      <c r="AA378" s="10">
        <v>27.578600000000002</v>
      </c>
      <c r="AB378" s="10"/>
      <c r="AC378" s="10">
        <v>16.497499999999999</v>
      </c>
      <c r="AD378" s="10">
        <v>10.257400000000001</v>
      </c>
      <c r="AG378" s="10">
        <v>10.4297</v>
      </c>
      <c r="AH378" s="10">
        <v>12.7516</v>
      </c>
      <c r="AI378" s="10">
        <v>10.583600000000001</v>
      </c>
      <c r="AJ378" s="10">
        <v>33.219799999999999</v>
      </c>
      <c r="AK378" s="10">
        <v>27.4861</v>
      </c>
      <c r="AN378" s="10">
        <v>10.556900000000001</v>
      </c>
      <c r="AO378" s="10">
        <v>5.9320000000000004</v>
      </c>
      <c r="AP378" s="10">
        <v>6.7389999999999999</v>
      </c>
      <c r="AQ378" s="10">
        <v>7.7918000000000003</v>
      </c>
      <c r="AR378" s="10">
        <v>15.5875</v>
      </c>
      <c r="AS378" s="10">
        <v>10.888400000000001</v>
      </c>
      <c r="AT378" s="10">
        <v>10.809699999999999</v>
      </c>
      <c r="AU378" s="10">
        <v>25.561299999999999</v>
      </c>
      <c r="AV378" s="10">
        <v>24.546800000000001</v>
      </c>
      <c r="AW378" s="10">
        <v>21.258099999999999</v>
      </c>
      <c r="AX378" s="10">
        <v>28.157900000000001</v>
      </c>
      <c r="AZ378">
        <v>22.7956</v>
      </c>
      <c r="BA378">
        <v>28.5228</v>
      </c>
      <c r="BB378">
        <v>20.905000000000001</v>
      </c>
      <c r="BD378">
        <v>18.8916</v>
      </c>
    </row>
    <row r="379" spans="1:56">
      <c r="A379" s="17">
        <v>46053</v>
      </c>
      <c r="C379">
        <v>17.5015</v>
      </c>
      <c r="D379">
        <v>64.442700000000002</v>
      </c>
      <c r="E379">
        <v>13.004799999999999</v>
      </c>
      <c r="G379">
        <v>15.597200000000001</v>
      </c>
      <c r="H379">
        <v>11.836</v>
      </c>
      <c r="L379" s="10">
        <v>18.715900000000001</v>
      </c>
      <c r="M379" s="10">
        <v>30.592099999999999</v>
      </c>
      <c r="N379" s="10">
        <v>11.1526</v>
      </c>
      <c r="R379">
        <v>10.5517</v>
      </c>
      <c r="S379" s="10">
        <v>67.1708</v>
      </c>
      <c r="T379" s="10">
        <v>32.866599999999998</v>
      </c>
      <c r="U379" s="10">
        <v>31.7559</v>
      </c>
      <c r="V379" s="10">
        <v>14.136699999999999</v>
      </c>
      <c r="W379" s="10">
        <v>14.9095</v>
      </c>
      <c r="X379" s="10">
        <v>9.4581</v>
      </c>
      <c r="Y379" s="10"/>
      <c r="Z379" s="10"/>
      <c r="AA379" s="10">
        <v>27.920999999999999</v>
      </c>
      <c r="AB379" s="10"/>
      <c r="AC379" s="10">
        <v>16.6874</v>
      </c>
      <c r="AD379" s="10">
        <v>10.265700000000001</v>
      </c>
      <c r="AG379" s="10">
        <v>10.7294</v>
      </c>
      <c r="AH379" s="10">
        <v>12.869</v>
      </c>
      <c r="AI379" s="10">
        <v>10.8224</v>
      </c>
      <c r="AJ379" s="10">
        <v>37.053199999999997</v>
      </c>
      <c r="AK379" s="10">
        <v>27.533300000000001</v>
      </c>
      <c r="AN379" s="10">
        <v>10.628500000000001</v>
      </c>
      <c r="AO379" s="10">
        <v>6.0183</v>
      </c>
      <c r="AP379" s="10">
        <v>6.8197000000000001</v>
      </c>
      <c r="AQ379" s="10">
        <v>7.9061000000000003</v>
      </c>
      <c r="AR379" s="10">
        <v>15.8058</v>
      </c>
      <c r="AS379" s="10">
        <v>11.003399999999999</v>
      </c>
      <c r="AT379" s="10">
        <v>10.892799999999999</v>
      </c>
      <c r="AU379" s="10">
        <v>26.646899999999999</v>
      </c>
      <c r="AV379" s="10">
        <v>24.4861</v>
      </c>
      <c r="AW379" s="10">
        <v>24.134899999999998</v>
      </c>
      <c r="AX379" s="10">
        <v>27.909300000000002</v>
      </c>
      <c r="AZ379">
        <v>23.7395</v>
      </c>
      <c r="BA379">
        <v>28.695499999999999</v>
      </c>
      <c r="BB379">
        <v>21.029499999999999</v>
      </c>
      <c r="BD379">
        <v>18.871600000000001</v>
      </c>
    </row>
    <row r="380" spans="1:56">
      <c r="A380" s="17">
        <v>46060</v>
      </c>
      <c r="C380">
        <v>17.851199999999999</v>
      </c>
      <c r="D380">
        <v>66.508200000000002</v>
      </c>
      <c r="E380">
        <v>12.9604</v>
      </c>
      <c r="G380">
        <v>15.249499999999999</v>
      </c>
      <c r="H380">
        <v>11.8712</v>
      </c>
      <c r="L380" s="10">
        <v>17.393699999999999</v>
      </c>
      <c r="M380" s="10">
        <v>29.0535</v>
      </c>
      <c r="N380" s="10">
        <v>10.934799999999999</v>
      </c>
      <c r="R380">
        <v>10.7997</v>
      </c>
      <c r="S380" s="10">
        <v>69.147999999999996</v>
      </c>
      <c r="T380" s="10">
        <v>31.522500000000001</v>
      </c>
      <c r="U380" s="10">
        <v>30.362500000000001</v>
      </c>
      <c r="V380" s="10">
        <v>13.535299999999999</v>
      </c>
      <c r="W380" s="10">
        <v>11.8093</v>
      </c>
      <c r="X380" s="10">
        <v>9.5359999999999996</v>
      </c>
      <c r="Y380" s="10"/>
      <c r="Z380" s="10"/>
      <c r="AA380" s="10">
        <v>26.577300000000001</v>
      </c>
      <c r="AB380" s="10"/>
      <c r="AC380" s="10">
        <v>16.329499999999999</v>
      </c>
      <c r="AD380" s="10">
        <v>9.9475999999999996</v>
      </c>
      <c r="AG380" s="10">
        <v>10.3301</v>
      </c>
      <c r="AH380" s="10">
        <v>12.7667</v>
      </c>
      <c r="AI380" s="10">
        <v>11.0207</v>
      </c>
      <c r="AJ380" s="10">
        <v>32.911499999999997</v>
      </c>
      <c r="AK380" s="10">
        <v>27.9071</v>
      </c>
      <c r="AN380" s="10">
        <v>10.720700000000001</v>
      </c>
      <c r="AO380" s="10">
        <v>5.8384</v>
      </c>
      <c r="AP380" s="10">
        <v>6.3398000000000003</v>
      </c>
      <c r="AQ380" s="10">
        <v>7.6699000000000002</v>
      </c>
      <c r="AR380" s="10">
        <v>14.618399999999999</v>
      </c>
      <c r="AS380" s="10">
        <v>11.117599999999999</v>
      </c>
      <c r="AT380" s="10">
        <v>11.104900000000001</v>
      </c>
      <c r="AU380" s="10">
        <v>25.359000000000002</v>
      </c>
      <c r="AV380" s="10">
        <v>24.8018</v>
      </c>
      <c r="AW380" s="10">
        <v>20.4726</v>
      </c>
      <c r="AX380" s="10">
        <v>28.427800000000001</v>
      </c>
      <c r="AZ380">
        <v>22.5425</v>
      </c>
      <c r="BA380">
        <v>28.047499999999999</v>
      </c>
      <c r="BB380">
        <v>20.561900000000001</v>
      </c>
      <c r="BD380">
        <v>19.0412</v>
      </c>
    </row>
    <row r="381" spans="1:56">
      <c r="A381" s="17">
        <v>46067</v>
      </c>
      <c r="C381">
        <v>18.194600000000001</v>
      </c>
      <c r="D381">
        <v>70.614199999999997</v>
      </c>
      <c r="E381">
        <v>13.2605</v>
      </c>
      <c r="G381">
        <v>14.767099999999999</v>
      </c>
      <c r="H381">
        <v>11.8765</v>
      </c>
      <c r="L381" s="10">
        <v>18.427</v>
      </c>
      <c r="M381" s="10">
        <v>29.6906</v>
      </c>
      <c r="N381" s="10">
        <v>11.171099999999999</v>
      </c>
      <c r="R381">
        <v>11.231199999999999</v>
      </c>
      <c r="S381" s="10">
        <v>73.067999999999998</v>
      </c>
      <c r="T381" s="10">
        <v>31.6541</v>
      </c>
      <c r="U381" s="10">
        <v>30.348600000000001</v>
      </c>
      <c r="V381" s="10">
        <v>13.2887</v>
      </c>
      <c r="W381" s="10">
        <v>12.5113</v>
      </c>
      <c r="X381" s="10">
        <v>9.3787000000000003</v>
      </c>
      <c r="Y381" s="10"/>
      <c r="Z381" s="10"/>
      <c r="AA381" s="10">
        <v>26.6601</v>
      </c>
      <c r="AB381" s="10"/>
      <c r="AC381" s="10">
        <v>16.547499999999999</v>
      </c>
      <c r="AD381" s="10">
        <v>10.0543</v>
      </c>
      <c r="AG381" s="10">
        <v>10.4374</v>
      </c>
      <c r="AH381" s="10">
        <v>12.6609</v>
      </c>
      <c r="AI381" s="10">
        <v>11.7608</v>
      </c>
      <c r="AJ381" s="10">
        <v>33.610599999999998</v>
      </c>
      <c r="AK381" s="10">
        <v>28.603999999999999</v>
      </c>
      <c r="AN381" s="10">
        <v>11.0985</v>
      </c>
      <c r="AO381" s="10">
        <v>5.9108999999999998</v>
      </c>
      <c r="AP381" s="10">
        <v>6.4269999999999996</v>
      </c>
      <c r="AQ381" s="10">
        <v>7.6501999999999999</v>
      </c>
      <c r="AR381" s="10">
        <v>14.8255</v>
      </c>
      <c r="AS381" s="10">
        <v>11.6736</v>
      </c>
      <c r="AT381" s="10">
        <v>11.706899999999999</v>
      </c>
      <c r="AU381" s="10">
        <v>25.834499999999998</v>
      </c>
      <c r="AV381" s="10">
        <v>24.6419</v>
      </c>
      <c r="AW381" s="10">
        <v>21.638999999999999</v>
      </c>
      <c r="AX381" s="10">
        <v>29.765699999999999</v>
      </c>
      <c r="AZ381">
        <v>23.057300000000001</v>
      </c>
      <c r="BA381">
        <v>28.139900000000001</v>
      </c>
      <c r="BB381">
        <v>20.625</v>
      </c>
      <c r="BD381">
        <v>19.202999999999999</v>
      </c>
    </row>
    <row r="382" spans="1:56">
      <c r="A382" s="17">
        <v>46074</v>
      </c>
      <c r="C382">
        <v>18.141200000000001</v>
      </c>
      <c r="D382">
        <v>72.522400000000005</v>
      </c>
      <c r="E382">
        <v>13.2431</v>
      </c>
      <c r="G382">
        <v>14.892899999999999</v>
      </c>
      <c r="H382">
        <v>11.8742</v>
      </c>
      <c r="L382" s="10">
        <v>18.3291</v>
      </c>
      <c r="M382" s="10">
        <v>29.964400000000001</v>
      </c>
      <c r="N382" s="10">
        <v>10.989000000000001</v>
      </c>
      <c r="R382">
        <v>11.4961</v>
      </c>
      <c r="S382" s="10">
        <v>75.430199999999999</v>
      </c>
      <c r="T382" s="10">
        <v>32.0687</v>
      </c>
      <c r="U382" s="10">
        <v>30.2394</v>
      </c>
      <c r="V382" s="10">
        <v>13.1083</v>
      </c>
      <c r="W382" s="10">
        <v>12.782299999999999</v>
      </c>
      <c r="X382" s="10">
        <v>9.1638999999999999</v>
      </c>
      <c r="Y382" s="10">
        <v>12.219200000000001</v>
      </c>
      <c r="Z382" s="10">
        <v>18.9146</v>
      </c>
      <c r="AA382" s="10">
        <v>26.772500000000001</v>
      </c>
      <c r="AB382" s="10">
        <v>41.452500000000001</v>
      </c>
      <c r="AC382" s="10">
        <v>16.619</v>
      </c>
      <c r="AD382" s="10">
        <v>10.203099999999999</v>
      </c>
      <c r="AG382" s="10">
        <v>10.4374</v>
      </c>
      <c r="AH382" s="10">
        <v>12.6609</v>
      </c>
      <c r="AI382" s="10">
        <v>12.0547</v>
      </c>
      <c r="AJ382" s="10">
        <v>33.924300000000002</v>
      </c>
      <c r="AK382" s="10">
        <v>28.912199999999999</v>
      </c>
      <c r="AN382" s="10">
        <v>11.2216</v>
      </c>
      <c r="AO382" s="10">
        <v>5.8333000000000004</v>
      </c>
      <c r="AP382">
        <v>6.3673000000000002</v>
      </c>
      <c r="AQ382" s="10">
        <v>7.5834999999999999</v>
      </c>
      <c r="AR382" s="10">
        <v>14.9129</v>
      </c>
      <c r="AS382" s="10">
        <v>12.2425</v>
      </c>
      <c r="AT382" s="10">
        <v>12.128399999999999</v>
      </c>
      <c r="AU382" s="10">
        <v>27.7043</v>
      </c>
      <c r="AV382" s="10">
        <v>24.8687</v>
      </c>
      <c r="AW382" s="10">
        <v>20.519200000000001</v>
      </c>
      <c r="AX382" s="10">
        <v>29.7319</v>
      </c>
      <c r="AZ382">
        <v>23.285699999999999</v>
      </c>
      <c r="BA382">
        <v>28.260200000000001</v>
      </c>
      <c r="BB382">
        <v>20.715399999999999</v>
      </c>
      <c r="BD382">
        <v>19.412099999999999</v>
      </c>
    </row>
    <row r="383" spans="1:56">
      <c r="A383" s="17">
        <v>46081</v>
      </c>
      <c r="C383">
        <v>18.250699999999998</v>
      </c>
      <c r="D383">
        <v>74.614500000000007</v>
      </c>
      <c r="E383">
        <v>13.344799999999999</v>
      </c>
      <c r="G383">
        <v>15.1958</v>
      </c>
      <c r="H383">
        <v>11.9284</v>
      </c>
      <c r="L383" s="10">
        <v>18.825099999999999</v>
      </c>
      <c r="M383" s="10">
        <v>30.783200000000001</v>
      </c>
      <c r="N383" s="10">
        <v>11.133800000000001</v>
      </c>
      <c r="R383">
        <v>11.812099999999999</v>
      </c>
      <c r="S383" s="10">
        <v>77.946799999999996</v>
      </c>
      <c r="T383" s="10">
        <v>32.872500000000002</v>
      </c>
      <c r="U383" s="10">
        <v>30.179500000000001</v>
      </c>
      <c r="V383" s="10">
        <v>12.822800000000001</v>
      </c>
      <c r="W383" s="10">
        <v>13.186199999999999</v>
      </c>
      <c r="X383" s="10">
        <v>8.9699000000000009</v>
      </c>
      <c r="Y383" s="10">
        <v>12.428599999999999</v>
      </c>
      <c r="Z383" s="10">
        <v>19.238700000000001</v>
      </c>
      <c r="AA383" s="10">
        <v>27.020600000000002</v>
      </c>
      <c r="AB383" s="10">
        <v>41.368099999999998</v>
      </c>
      <c r="AC383" s="10">
        <v>16.802</v>
      </c>
      <c r="AD383" s="10">
        <v>10.240500000000001</v>
      </c>
      <c r="AG383" s="10">
        <v>10.5227</v>
      </c>
      <c r="AH383" s="10">
        <v>12.6021</v>
      </c>
      <c r="AI383" s="10">
        <v>11.9895</v>
      </c>
      <c r="AJ383" s="10">
        <v>34.868699999999997</v>
      </c>
      <c r="AK383" s="10">
        <v>29.400099999999998</v>
      </c>
      <c r="AN383" s="10">
        <v>11.491400000000001</v>
      </c>
      <c r="AO383" s="10">
        <v>5.8491</v>
      </c>
      <c r="AP383" s="10">
        <v>6.3846999999999996</v>
      </c>
      <c r="AQ383" s="10">
        <v>7.5096999999999996</v>
      </c>
      <c r="AR383" s="10">
        <v>15.0313</v>
      </c>
      <c r="AS383" s="10">
        <v>12.253399999999999</v>
      </c>
      <c r="AT383" s="10">
        <v>12.1076</v>
      </c>
      <c r="AU383" s="10">
        <v>26.800599999999999</v>
      </c>
      <c r="AV383" s="10">
        <v>24.7986</v>
      </c>
      <c r="AW383" s="10">
        <v>22.741599999999998</v>
      </c>
      <c r="AX383" s="10">
        <v>30.7254</v>
      </c>
      <c r="AZ383">
        <v>23.952000000000002</v>
      </c>
      <c r="BA383">
        <v>28.4636</v>
      </c>
      <c r="BB383">
        <v>20.870200000000001</v>
      </c>
      <c r="BD383">
        <v>19.638400000000001</v>
      </c>
    </row>
    <row r="384" spans="1:56">
      <c r="A384" s="17">
        <v>46088</v>
      </c>
      <c r="C384">
        <v>18.005600000000001</v>
      </c>
      <c r="D384">
        <v>69.358699999999999</v>
      </c>
      <c r="E384">
        <v>13.011900000000001</v>
      </c>
      <c r="G384">
        <v>15.144600000000001</v>
      </c>
      <c r="H384">
        <v>11.8811</v>
      </c>
      <c r="L384" s="10">
        <v>18.4527</v>
      </c>
      <c r="M384" s="10">
        <v>30.354600000000001</v>
      </c>
      <c r="N384" s="10">
        <v>10.613099999999999</v>
      </c>
      <c r="R384">
        <v>11.1569</v>
      </c>
      <c r="S384" s="10">
        <v>72.532200000000003</v>
      </c>
      <c r="T384" s="10">
        <v>33.261400000000002</v>
      </c>
      <c r="U384" s="10">
        <v>30.075299999999999</v>
      </c>
      <c r="V384" s="10">
        <v>12.8277</v>
      </c>
      <c r="W384" s="10">
        <v>13.2128</v>
      </c>
      <c r="X384" s="10">
        <v>9.1224000000000007</v>
      </c>
      <c r="Y384" s="10">
        <v>11.550700000000001</v>
      </c>
      <c r="Z384" s="10">
        <v>17.872</v>
      </c>
      <c r="AA384" s="10">
        <v>26.746300000000002</v>
      </c>
      <c r="AB384" s="10">
        <v>40.930399999999999</v>
      </c>
      <c r="AC384" s="10">
        <v>16.314499999999999</v>
      </c>
      <c r="AD384" s="10">
        <v>10.1738</v>
      </c>
      <c r="AG384" s="10">
        <v>9.9179999999999993</v>
      </c>
      <c r="AH384" s="10">
        <v>12.6182</v>
      </c>
      <c r="AI384" s="10">
        <v>10.688800000000001</v>
      </c>
      <c r="AJ384" s="10">
        <v>34.422600000000003</v>
      </c>
      <c r="AK384" s="10">
        <v>28.408899999999999</v>
      </c>
      <c r="AN384" s="10">
        <v>11.0121</v>
      </c>
      <c r="AO384" s="10">
        <v>5.5937999999999999</v>
      </c>
      <c r="AP384" s="10">
        <v>6.3971999999999998</v>
      </c>
      <c r="AQ384" s="10">
        <v>7.3071999999999999</v>
      </c>
      <c r="AR384" s="10">
        <v>15.010199999999999</v>
      </c>
      <c r="AS384" s="10">
        <v>11.508900000000001</v>
      </c>
      <c r="AT384" s="10">
        <v>11.0326</v>
      </c>
      <c r="AU384" s="10">
        <v>26.561199999999999</v>
      </c>
      <c r="AV384" s="10">
        <v>23.82</v>
      </c>
      <c r="AW384" s="10">
        <v>22.095400000000001</v>
      </c>
      <c r="AX384" s="10">
        <v>29.135000000000002</v>
      </c>
      <c r="AZ384">
        <v>23.651399999999999</v>
      </c>
      <c r="BA384">
        <v>28.159300000000002</v>
      </c>
      <c r="BB384">
        <v>20.649699999999999</v>
      </c>
      <c r="BC384">
        <v>10.5139</v>
      </c>
      <c r="BD384">
        <v>18.737200000000001</v>
      </c>
    </row>
    <row r="385" spans="1:56">
      <c r="A385" s="17">
        <v>46095</v>
      </c>
      <c r="C385">
        <v>17.2682</v>
      </c>
      <c r="D385">
        <v>69.366399999999999</v>
      </c>
      <c r="E385">
        <v>12.82</v>
      </c>
      <c r="G385">
        <v>14.6639</v>
      </c>
      <c r="H385">
        <v>11.841699999999999</v>
      </c>
      <c r="L385" s="10">
        <v>17.824999999999999</v>
      </c>
      <c r="M385" s="10">
        <v>30.1951</v>
      </c>
      <c r="N385" s="10">
        <v>10.755000000000001</v>
      </c>
      <c r="R385">
        <v>11.1243</v>
      </c>
      <c r="S385" s="10">
        <v>72.724800000000002</v>
      </c>
      <c r="T385" s="10">
        <v>33.506999999999998</v>
      </c>
      <c r="U385" s="10">
        <v>30.0428</v>
      </c>
      <c r="V385" s="10">
        <v>12.924200000000001</v>
      </c>
      <c r="W385" s="10">
        <v>12.663399999999999</v>
      </c>
      <c r="X385" s="10">
        <v>8.7599</v>
      </c>
      <c r="Y385" s="10">
        <v>11.533899999999999</v>
      </c>
      <c r="Z385" s="10">
        <v>17.803599999999999</v>
      </c>
      <c r="AA385" s="10">
        <v>26.238299999999999</v>
      </c>
      <c r="AB385" s="10">
        <v>40.525399999999998</v>
      </c>
      <c r="AC385" s="10">
        <v>15.998100000000001</v>
      </c>
      <c r="AD385" s="10">
        <v>9.8996999999999993</v>
      </c>
      <c r="AG385" s="10">
        <v>9.8188999999999993</v>
      </c>
      <c r="AH385" s="10">
        <v>12.7675</v>
      </c>
      <c r="AI385" s="10">
        <v>10.609299999999999</v>
      </c>
      <c r="AJ385" s="10">
        <v>34.286700000000003</v>
      </c>
      <c r="AK385" s="10">
        <v>28.386099999999999</v>
      </c>
      <c r="AN385" s="10">
        <v>11.0825</v>
      </c>
      <c r="AO385" s="10">
        <v>5.7203999999999997</v>
      </c>
      <c r="AP385" s="10">
        <v>6.3301999999999996</v>
      </c>
      <c r="AQ385" s="10">
        <v>7.3525999999999998</v>
      </c>
      <c r="AR385" s="10">
        <v>14.7499</v>
      </c>
      <c r="AS385" s="10">
        <v>11.627599999999999</v>
      </c>
      <c r="AT385" s="10">
        <v>11.087400000000001</v>
      </c>
      <c r="AU385" s="10">
        <v>26.530200000000001</v>
      </c>
      <c r="AV385" s="10">
        <v>23.5379</v>
      </c>
      <c r="AW385" s="10">
        <v>21.1874</v>
      </c>
      <c r="AX385" s="10">
        <v>28.164999999999999</v>
      </c>
      <c r="AZ385">
        <v>27.553100000000001</v>
      </c>
      <c r="BA385">
        <v>27.508600000000001</v>
      </c>
      <c r="BB385">
        <v>20.1754</v>
      </c>
      <c r="BC385">
        <v>10.663399999999999</v>
      </c>
      <c r="BD385">
        <v>18.5777</v>
      </c>
    </row>
    <row r="386" spans="1:56">
      <c r="A386" s="17">
        <v>46102</v>
      </c>
      <c r="C386">
        <v>16.909800000000001</v>
      </c>
      <c r="D386">
        <v>69.6952</v>
      </c>
      <c r="E386">
        <v>12.523999999999999</v>
      </c>
      <c r="G386">
        <v>14.315200000000001</v>
      </c>
      <c r="H386">
        <v>11.8222</v>
      </c>
      <c r="L386" s="10">
        <v>17.796500000000002</v>
      </c>
      <c r="M386" s="10">
        <v>27.710999999999999</v>
      </c>
      <c r="N386" s="10">
        <v>10.543200000000001</v>
      </c>
      <c r="R386">
        <v>11.211</v>
      </c>
      <c r="S386" s="10">
        <v>74.086600000000004</v>
      </c>
      <c r="T386" s="10">
        <v>31.3081</v>
      </c>
      <c r="U386" s="10">
        <v>29.869599999999998</v>
      </c>
      <c r="V386" s="10">
        <v>12.8629</v>
      </c>
      <c r="W386" s="10">
        <v>12.946099999999999</v>
      </c>
      <c r="X386" s="10">
        <v>8.5642999999999994</v>
      </c>
      <c r="Y386" s="10">
        <v>11.6927</v>
      </c>
      <c r="Z386" s="10">
        <v>18.099599999999999</v>
      </c>
      <c r="AA386" s="10">
        <v>26.0991</v>
      </c>
      <c r="AB386" s="10">
        <v>39.757899999999999</v>
      </c>
      <c r="AC386" s="10">
        <v>15.9107</v>
      </c>
      <c r="AD386" s="10">
        <v>9.6972000000000005</v>
      </c>
      <c r="AG386" s="10">
        <v>9.7606999999999999</v>
      </c>
      <c r="AH386" s="10">
        <v>12.7461</v>
      </c>
      <c r="AI386" s="10">
        <v>10.3759</v>
      </c>
      <c r="AJ386" s="10">
        <v>31.581199999999999</v>
      </c>
      <c r="AK386" s="10">
        <v>28.494</v>
      </c>
      <c r="AN386" s="10">
        <v>11.1166</v>
      </c>
      <c r="AO386" s="10">
        <v>5.5713999999999997</v>
      </c>
      <c r="AP386" s="10">
        <v>6.2214</v>
      </c>
      <c r="AQ386" s="10">
        <v>7.2793999999999999</v>
      </c>
      <c r="AR386" s="10">
        <v>14.8019</v>
      </c>
      <c r="AS386" s="10">
        <v>11.6928</v>
      </c>
      <c r="AT386" s="10">
        <v>11.260199999999999</v>
      </c>
      <c r="AU386" s="10">
        <v>24.473800000000001</v>
      </c>
      <c r="AV386" s="10">
        <v>22.863700000000001</v>
      </c>
      <c r="AW386" s="10">
        <v>17.585799999999999</v>
      </c>
      <c r="AX386" s="10">
        <v>27.964200000000002</v>
      </c>
      <c r="AZ386">
        <v>21.6877</v>
      </c>
      <c r="BA386">
        <v>27.283300000000001</v>
      </c>
      <c r="BB386">
        <v>20.0123</v>
      </c>
      <c r="BC386">
        <v>10.8712</v>
      </c>
      <c r="BD386">
        <v>20.0123</v>
      </c>
    </row>
    <row r="387" spans="1:56">
      <c r="A387" s="17">
        <v>46109</v>
      </c>
      <c r="C387">
        <v>17.268000000000001</v>
      </c>
      <c r="D387">
        <v>70.155699999999996</v>
      </c>
      <c r="E387">
        <v>12.3734</v>
      </c>
      <c r="G387">
        <v>14.1388</v>
      </c>
      <c r="H387">
        <v>11.769600000000001</v>
      </c>
      <c r="L387" s="10">
        <v>17.4194</v>
      </c>
      <c r="M387" s="10">
        <v>26.073699999999999</v>
      </c>
      <c r="N387" s="10">
        <v>10.42</v>
      </c>
      <c r="R387">
        <v>11.2165</v>
      </c>
      <c r="S387" s="10">
        <v>74.764300000000006</v>
      </c>
      <c r="T387" s="10">
        <v>29.744</v>
      </c>
      <c r="U387" s="10">
        <v>29.4</v>
      </c>
      <c r="V387" s="10">
        <v>12.7119</v>
      </c>
      <c r="W387" s="10">
        <v>12.373200000000001</v>
      </c>
      <c r="X387" s="10">
        <v>8.5382999999999996</v>
      </c>
      <c r="Y387" s="10">
        <v>11.002800000000001</v>
      </c>
      <c r="Z387" s="10">
        <v>17.031700000000001</v>
      </c>
      <c r="AA387" s="10">
        <v>25.286100000000001</v>
      </c>
      <c r="AB387" s="10">
        <v>39.262099999999997</v>
      </c>
      <c r="AC387" s="10">
        <v>15.583</v>
      </c>
      <c r="AD387" s="10">
        <v>9.6812000000000005</v>
      </c>
      <c r="AG387" s="10">
        <v>9.9922000000000004</v>
      </c>
      <c r="AH387" s="10">
        <v>12.6532</v>
      </c>
      <c r="AI387" s="10">
        <v>10.2691</v>
      </c>
      <c r="AJ387" s="10">
        <v>29.841000000000001</v>
      </c>
      <c r="AK387" s="10">
        <v>28.497900000000001</v>
      </c>
      <c r="AN387" s="10">
        <v>11.129</v>
      </c>
      <c r="AO387" s="10">
        <v>5.3876999999999997</v>
      </c>
      <c r="AP387" s="10">
        <v>6.1439000000000004</v>
      </c>
      <c r="AQ387" s="10">
        <v>7.1676000000000002</v>
      </c>
      <c r="AR387" s="10">
        <v>14.1241</v>
      </c>
      <c r="AS387" s="10">
        <v>11.74</v>
      </c>
      <c r="AT387" s="10">
        <v>11.3142</v>
      </c>
      <c r="AU387" s="10">
        <v>23.1355</v>
      </c>
      <c r="AV387" s="10">
        <v>22.9131</v>
      </c>
      <c r="AW387" s="10">
        <v>17.390699999999999</v>
      </c>
      <c r="AX387" s="10">
        <v>28.008400000000002</v>
      </c>
      <c r="AZ387">
        <v>20.498899999999999</v>
      </c>
      <c r="BA387">
        <v>26.747199999999999</v>
      </c>
      <c r="BB387">
        <v>19.634799999999998</v>
      </c>
      <c r="BC387">
        <v>10.6355</v>
      </c>
      <c r="BD387">
        <v>18.0532</v>
      </c>
    </row>
    <row r="388" spans="1:56">
      <c r="A388" s="17">
        <v>46116</v>
      </c>
      <c r="C388">
        <v>17.110099999999999</v>
      </c>
      <c r="D388">
        <v>70.479900000000001</v>
      </c>
      <c r="E388">
        <v>12.413399999999999</v>
      </c>
      <c r="G388">
        <v>14.0738</v>
      </c>
      <c r="H388">
        <v>11.8268</v>
      </c>
      <c r="L388" s="10">
        <v>17.167899999999999</v>
      </c>
      <c r="M388" s="10">
        <v>27.202300000000001</v>
      </c>
      <c r="N388" s="10">
        <v>10.275399999999999</v>
      </c>
      <c r="R388">
        <v>11.329000000000001</v>
      </c>
      <c r="S388" s="10">
        <v>75.091800000000006</v>
      </c>
      <c r="T388" s="10">
        <v>30.7087</v>
      </c>
      <c r="U388" s="10">
        <v>29.468499999999999</v>
      </c>
      <c r="V388" s="10">
        <v>12.6332</v>
      </c>
      <c r="W388" s="10">
        <v>12.1577</v>
      </c>
      <c r="X388" s="10">
        <v>8.66</v>
      </c>
      <c r="Y388" s="10">
        <v>11.0885</v>
      </c>
      <c r="Z388" s="10">
        <v>17.164400000000001</v>
      </c>
      <c r="AA388" s="10">
        <v>25.753299999999999</v>
      </c>
      <c r="AB388" s="10">
        <v>39.986199999999997</v>
      </c>
      <c r="AC388" s="10">
        <v>15.9068</v>
      </c>
      <c r="AD388" s="10">
        <v>9.5686</v>
      </c>
      <c r="AG388" s="10">
        <v>9.9847000000000001</v>
      </c>
      <c r="AH388" s="10">
        <v>12.6638</v>
      </c>
      <c r="AI388" s="10">
        <v>10.551500000000001</v>
      </c>
      <c r="AJ388" s="10">
        <v>31.0898</v>
      </c>
      <c r="AK388" s="10">
        <v>28.6599</v>
      </c>
      <c r="AN388" s="10">
        <v>11.1721</v>
      </c>
      <c r="AO388" s="10">
        <v>5.3716999999999997</v>
      </c>
      <c r="AP388" s="10">
        <v>6.1082999999999998</v>
      </c>
      <c r="AQ388" s="10">
        <v>7.1665000000000001</v>
      </c>
      <c r="AR388" s="10">
        <v>14.5084</v>
      </c>
      <c r="AS388" s="10">
        <v>11.7789</v>
      </c>
      <c r="AT388" s="10">
        <v>11.7273</v>
      </c>
      <c r="AU388" s="10">
        <v>24.0517</v>
      </c>
      <c r="AV388" s="10">
        <v>23.357399999999998</v>
      </c>
      <c r="AW388" s="10">
        <v>18.641300000000001</v>
      </c>
      <c r="AX388" s="10">
        <v>27.965199999999999</v>
      </c>
      <c r="AZ388">
        <v>21.349299999999999</v>
      </c>
      <c r="BA388">
        <v>27.1478</v>
      </c>
      <c r="BB388">
        <v>19.9316</v>
      </c>
      <c r="BC388">
        <v>10.553800000000001</v>
      </c>
      <c r="BD388">
        <v>18.546199999999999</v>
      </c>
    </row>
    <row r="389" spans="1:56">
      <c r="A389" s="17">
        <v>46123</v>
      </c>
      <c r="C389">
        <v>17.843399999999999</v>
      </c>
      <c r="D389">
        <v>72.776300000000006</v>
      </c>
      <c r="E389">
        <v>12.853400000000001</v>
      </c>
      <c r="G389">
        <v>14.407</v>
      </c>
      <c r="H389">
        <v>11.8565</v>
      </c>
      <c r="L389" s="10">
        <v>18.576499999999999</v>
      </c>
      <c r="M389" s="10">
        <v>27.8474</v>
      </c>
      <c r="N389" s="10">
        <v>10.7098</v>
      </c>
      <c r="R389">
        <v>11.599</v>
      </c>
      <c r="S389" s="10">
        <v>77.729299999999995</v>
      </c>
      <c r="T389" s="10">
        <v>31.035799999999998</v>
      </c>
      <c r="U389" s="10">
        <v>30.169499999999999</v>
      </c>
      <c r="V389" s="10">
        <v>12.685</v>
      </c>
      <c r="W389" s="10">
        <v>12.983499999999999</v>
      </c>
      <c r="X389" s="10">
        <v>9.0213999999999999</v>
      </c>
      <c r="Y389" s="10">
        <v>11.742000000000001</v>
      </c>
      <c r="Z389" s="10">
        <v>18.175899999999999</v>
      </c>
      <c r="AA389" s="10">
        <v>26.763000000000002</v>
      </c>
      <c r="AB389" s="10">
        <v>41.554000000000002</v>
      </c>
      <c r="AC389" s="10">
        <v>16.4892</v>
      </c>
      <c r="AD389" s="10">
        <v>9.7934999999999999</v>
      </c>
      <c r="AG389" s="10">
        <v>10.008699999999999</v>
      </c>
      <c r="AH389" s="10">
        <v>12.964600000000001</v>
      </c>
      <c r="AI389" s="10">
        <v>10.691700000000001</v>
      </c>
      <c r="AJ389" s="10">
        <v>31.751100000000001</v>
      </c>
      <c r="AK389" s="10">
        <v>29.101900000000001</v>
      </c>
      <c r="AN389" s="10">
        <v>11.253399999999999</v>
      </c>
      <c r="AO389" s="10">
        <v>5.5453000000000001</v>
      </c>
      <c r="AP389" s="10">
        <v>6.2697000000000003</v>
      </c>
      <c r="AQ389" s="10">
        <v>7.3141999999999996</v>
      </c>
      <c r="AR389" s="10">
        <v>15.1854</v>
      </c>
      <c r="AS389" s="10">
        <v>11.888299999999999</v>
      </c>
      <c r="AT389" s="10">
        <v>11.871600000000001</v>
      </c>
      <c r="AU389" s="10">
        <v>24.5184</v>
      </c>
      <c r="AV389" s="10">
        <v>23.963699999999999</v>
      </c>
      <c r="AW389" s="10">
        <v>19.178999999999998</v>
      </c>
      <c r="AX389" s="10">
        <v>29.877400000000002</v>
      </c>
      <c r="AZ389">
        <v>21.8277</v>
      </c>
      <c r="BA389">
        <v>28.053799999999999</v>
      </c>
      <c r="BB389">
        <v>20.596599999999999</v>
      </c>
      <c r="BC389">
        <v>10.678699999999999</v>
      </c>
      <c r="BD389">
        <v>19.049099999999999</v>
      </c>
    </row>
    <row r="390" spans="1:56">
      <c r="A390" s="17">
        <v>46130</v>
      </c>
      <c r="C390">
        <v>17.982800000000001</v>
      </c>
      <c r="D390">
        <v>71.722700000000003</v>
      </c>
      <c r="E390">
        <v>13.172800000000001</v>
      </c>
      <c r="G390">
        <v>14.894</v>
      </c>
      <c r="H390">
        <v>11.864800000000001</v>
      </c>
      <c r="L390" s="10">
        <v>19.881799999999998</v>
      </c>
      <c r="M390" s="10">
        <v>28.2851</v>
      </c>
      <c r="N390" s="10">
        <v>11.1312</v>
      </c>
      <c r="R390">
        <v>11.4872</v>
      </c>
      <c r="S390" s="10">
        <v>76.344899999999996</v>
      </c>
      <c r="T390" s="10">
        <v>31.4466</v>
      </c>
      <c r="U390" s="10">
        <v>29.968900000000001</v>
      </c>
      <c r="V390" s="10">
        <v>13.082000000000001</v>
      </c>
      <c r="W390" s="10">
        <v>14.2277</v>
      </c>
      <c r="X390" s="10">
        <v>9.0783000000000005</v>
      </c>
      <c r="Y390" s="10">
        <v>11.7126</v>
      </c>
      <c r="Z390" s="10">
        <v>18.130299999999998</v>
      </c>
      <c r="AA390" s="10">
        <v>28.023299999999999</v>
      </c>
      <c r="AB390" s="10">
        <v>43.5107</v>
      </c>
      <c r="AC390" s="10">
        <v>16.888300000000001</v>
      </c>
      <c r="AD390" s="10">
        <v>10.068899999999999</v>
      </c>
      <c r="AG390" s="10">
        <v>10.0809</v>
      </c>
      <c r="AH390" s="10">
        <v>13.285399999999999</v>
      </c>
      <c r="AI390" s="10">
        <v>10.7166</v>
      </c>
      <c r="AJ390" s="10">
        <v>32.223599999999998</v>
      </c>
      <c r="AK390" s="10">
        <v>28.960799999999999</v>
      </c>
      <c r="AN390" s="10">
        <v>11.152200000000001</v>
      </c>
      <c r="AO390" s="10">
        <v>5.766</v>
      </c>
      <c r="AP390" s="10">
        <v>6.4668999999999999</v>
      </c>
      <c r="AQ390" s="10">
        <v>7.4634</v>
      </c>
      <c r="AR390" s="10">
        <v>16.277799999999999</v>
      </c>
      <c r="AS390" s="10">
        <v>11.732699999999999</v>
      </c>
      <c r="AT390" s="10">
        <v>11.895899999999999</v>
      </c>
      <c r="AU390" s="10">
        <v>24.867599999999999</v>
      </c>
      <c r="AV390" s="10">
        <v>24.1906</v>
      </c>
      <c r="AW390" s="10">
        <v>19.753699999999998</v>
      </c>
      <c r="AX390" s="10">
        <v>30.748799999999999</v>
      </c>
      <c r="AZ390">
        <v>22.154199999999999</v>
      </c>
      <c r="BA390">
        <v>28.8904</v>
      </c>
      <c r="BB390">
        <v>21.2134</v>
      </c>
      <c r="BC390">
        <v>10.824</v>
      </c>
      <c r="BD390">
        <v>19.183800000000002</v>
      </c>
    </row>
    <row r="391" spans="1:56">
      <c r="A391" s="17">
        <v>46137</v>
      </c>
      <c r="C391">
        <v>18.352799999999998</v>
      </c>
      <c r="D391">
        <v>70.960599999999999</v>
      </c>
      <c r="E391">
        <v>13.250400000000001</v>
      </c>
      <c r="G391">
        <v>14.7371</v>
      </c>
      <c r="H391">
        <v>11.8447</v>
      </c>
      <c r="L391" s="10">
        <v>20.750599999999999</v>
      </c>
      <c r="M391" s="10">
        <v>27.575800000000001</v>
      </c>
      <c r="N391" s="10">
        <v>11.2752</v>
      </c>
      <c r="R391">
        <v>11.372</v>
      </c>
      <c r="S391" s="10">
        <v>75.228399999999993</v>
      </c>
      <c r="T391" s="10">
        <v>31.038900000000002</v>
      </c>
      <c r="U391" s="10">
        <v>32.551499999999997</v>
      </c>
      <c r="V391" s="10">
        <v>12.889799999999999</v>
      </c>
      <c r="W391" s="10">
        <v>14.7013</v>
      </c>
      <c r="X391" s="10">
        <v>9.5967000000000002</v>
      </c>
      <c r="Y391" s="10">
        <v>12.841900000000001</v>
      </c>
      <c r="Z391" s="10">
        <v>19.878499999999999</v>
      </c>
      <c r="AA391" s="10">
        <v>28.523900000000001</v>
      </c>
      <c r="AB391" s="10">
        <v>44.287999999999997</v>
      </c>
      <c r="AC391" s="10">
        <v>16.945699999999999</v>
      </c>
      <c r="AD391" s="10">
        <v>10.207700000000001</v>
      </c>
      <c r="AG391" s="10">
        <v>10.144299999999999</v>
      </c>
      <c r="AH391" s="10">
        <v>13.453099999999999</v>
      </c>
      <c r="AI391" s="10">
        <v>10.602</v>
      </c>
      <c r="AJ391" s="10">
        <v>31.445399999999999</v>
      </c>
      <c r="AK391" s="10">
        <v>28.705200000000001</v>
      </c>
      <c r="AN391" s="10">
        <v>11.1805</v>
      </c>
      <c r="AO391" s="10">
        <v>5.6668000000000003</v>
      </c>
      <c r="AP391" s="10">
        <v>6.5980999999999996</v>
      </c>
      <c r="AQ391" s="10">
        <v>7.4230999999999998</v>
      </c>
      <c r="AR391" s="10">
        <v>16.6053</v>
      </c>
      <c r="AS391" s="10">
        <v>11.7837</v>
      </c>
      <c r="AT391" s="10">
        <v>11.8919</v>
      </c>
      <c r="AU391" s="10">
        <v>24.346599999999999</v>
      </c>
      <c r="AV391" s="10">
        <v>23.798300000000001</v>
      </c>
      <c r="AW391" s="10">
        <v>19.2925</v>
      </c>
      <c r="AX391" s="10">
        <v>31.349</v>
      </c>
      <c r="AZ391">
        <v>21.6205</v>
      </c>
      <c r="BA391">
        <v>29.1751</v>
      </c>
      <c r="BB391">
        <v>21.424900000000001</v>
      </c>
      <c r="BC391">
        <v>10.890700000000001</v>
      </c>
      <c r="BD391">
        <v>19.138100000000001</v>
      </c>
    </row>
    <row r="392" spans="1:56">
      <c r="A392" s="17">
        <v>46144</v>
      </c>
      <c r="C392">
        <v>18.477499999999999</v>
      </c>
      <c r="D392">
        <v>72.555700000000002</v>
      </c>
      <c r="E392">
        <v>13.1539</v>
      </c>
      <c r="G392">
        <v>14.737399999999999</v>
      </c>
      <c r="H392">
        <v>11.8413</v>
      </c>
      <c r="L392" s="10">
        <v>20.8687</v>
      </c>
      <c r="M392" s="10">
        <v>27.100899999999999</v>
      </c>
      <c r="N392" s="10">
        <v>11.491</v>
      </c>
      <c r="R392">
        <v>11.543900000000001</v>
      </c>
      <c r="S392" s="10">
        <v>77.325500000000005</v>
      </c>
      <c r="T392" s="10">
        <v>30.726500000000001</v>
      </c>
      <c r="U392" s="10">
        <v>32.544499999999999</v>
      </c>
      <c r="V392" s="10">
        <v>12.8619</v>
      </c>
      <c r="W392" s="10">
        <v>13.9902</v>
      </c>
      <c r="X392" s="10">
        <v>9.2377000000000002</v>
      </c>
      <c r="Y392" s="10">
        <v>12.935499999999999</v>
      </c>
      <c r="Z392" s="10">
        <v>20.023499999999999</v>
      </c>
      <c r="AA392" s="10">
        <v>28.9741</v>
      </c>
      <c r="AB392" s="10">
        <v>44.987200000000001</v>
      </c>
      <c r="AC392" s="10">
        <v>16.944600000000001</v>
      </c>
      <c r="AD392" s="10">
        <v>10.088200000000001</v>
      </c>
      <c r="AG392" s="10">
        <v>10.1829</v>
      </c>
      <c r="AH392" s="10">
        <v>13.4503</v>
      </c>
      <c r="AI392" s="10">
        <v>10.750500000000001</v>
      </c>
      <c r="AJ392" s="10">
        <v>30.9434</v>
      </c>
      <c r="AK392" s="10">
        <v>28.937200000000001</v>
      </c>
      <c r="AN392" s="10">
        <v>11.046099999999999</v>
      </c>
      <c r="AO392" s="10">
        <v>5.6852999999999998</v>
      </c>
      <c r="AP392" s="10">
        <v>6.5625999999999998</v>
      </c>
      <c r="AQ392" s="10">
        <v>7.3379000000000003</v>
      </c>
      <c r="AR392" s="10">
        <v>16.8307</v>
      </c>
      <c r="AS392" s="10">
        <v>11.6259</v>
      </c>
      <c r="AT392" s="10">
        <v>12.297000000000001</v>
      </c>
      <c r="AU392" s="10">
        <v>23.993600000000001</v>
      </c>
      <c r="AV392" s="10">
        <v>23.490500000000001</v>
      </c>
      <c r="AW392" s="10">
        <v>18.088000000000001</v>
      </c>
      <c r="AX392" s="10">
        <v>31.152100000000001</v>
      </c>
      <c r="AZ392">
        <v>21.276900000000001</v>
      </c>
      <c r="BA392">
        <v>29.305900000000001</v>
      </c>
      <c r="BB392">
        <v>21.521699999999999</v>
      </c>
      <c r="BC392">
        <v>10.9588</v>
      </c>
      <c r="BD392">
        <v>18.827400000000001</v>
      </c>
    </row>
    <row r="393" spans="1:56">
      <c r="A393" s="17">
        <v>46151</v>
      </c>
      <c r="C393">
        <v>19.4238</v>
      </c>
      <c r="D393">
        <v>73.253399999999999</v>
      </c>
      <c r="E393">
        <v>13.6175</v>
      </c>
      <c r="G393">
        <v>14.8147</v>
      </c>
      <c r="H393">
        <v>11.861599999999999</v>
      </c>
      <c r="L393" s="10">
        <v>23.0504</v>
      </c>
      <c r="M393" s="10">
        <v>27.639399999999998</v>
      </c>
      <c r="N393" s="10">
        <v>12.147</v>
      </c>
      <c r="R393">
        <v>11.6029</v>
      </c>
      <c r="S393" s="10">
        <v>77.684700000000007</v>
      </c>
      <c r="T393" s="10">
        <v>30.936199999999999</v>
      </c>
      <c r="U393" s="10">
        <v>34.066200000000002</v>
      </c>
      <c r="V393" s="10">
        <v>13.1616</v>
      </c>
      <c r="W393" s="10">
        <v>15.6313</v>
      </c>
      <c r="X393" s="10">
        <v>10.013500000000001</v>
      </c>
      <c r="Y393" s="10">
        <v>12.935499999999999</v>
      </c>
      <c r="Z393" s="10">
        <v>20.023499999999999</v>
      </c>
      <c r="AA393" s="10">
        <v>30.365500000000001</v>
      </c>
      <c r="AB393" s="10">
        <v>47.147500000000001</v>
      </c>
      <c r="AC393" s="10">
        <v>17.4452</v>
      </c>
      <c r="AD393" s="10">
        <v>10.4566</v>
      </c>
      <c r="AG393" s="10">
        <v>10.1953</v>
      </c>
      <c r="AH393" s="10">
        <v>13.5154</v>
      </c>
      <c r="AI393" s="10">
        <v>11.019399999999999</v>
      </c>
      <c r="AJ393" s="10">
        <v>31.540099999999999</v>
      </c>
      <c r="AK393" s="10">
        <v>29.097100000000001</v>
      </c>
      <c r="AN393" s="10">
        <v>11.1012</v>
      </c>
      <c r="AO393" s="10">
        <v>5.8765000000000001</v>
      </c>
      <c r="AP393" s="10">
        <v>6.7968999999999999</v>
      </c>
      <c r="AQ393" s="10">
        <v>7.5056000000000003</v>
      </c>
      <c r="AR393" s="10">
        <v>17.873200000000001</v>
      </c>
      <c r="AS393" s="10">
        <v>11.7028</v>
      </c>
      <c r="AT393" s="10">
        <v>12.3948</v>
      </c>
      <c r="AU393" s="10">
        <v>24.368600000000001</v>
      </c>
      <c r="AV393" s="10">
        <v>23.8566</v>
      </c>
      <c r="AW393" s="10">
        <v>18.8141</v>
      </c>
      <c r="AX393" s="10">
        <v>32.919699999999999</v>
      </c>
      <c r="AZ393">
        <v>21.6829</v>
      </c>
      <c r="BA393">
        <v>30.100899999999999</v>
      </c>
      <c r="BB393">
        <v>22.096</v>
      </c>
      <c r="BC393">
        <v>10.972200000000001</v>
      </c>
      <c r="BD393">
        <v>19.223700000000001</v>
      </c>
    </row>
    <row r="394" spans="1:56">
      <c r="A394" s="17">
        <v>46158</v>
      </c>
      <c r="C394">
        <v>19.189299999999999</v>
      </c>
      <c r="D394">
        <v>74.025800000000004</v>
      </c>
      <c r="E394">
        <v>13.4696</v>
      </c>
      <c r="G394">
        <v>14.407500000000001</v>
      </c>
      <c r="H394">
        <v>11.8436</v>
      </c>
      <c r="L394" s="10">
        <v>23.354399999999998</v>
      </c>
      <c r="M394" s="10">
        <v>26.630199999999999</v>
      </c>
      <c r="N394" s="10">
        <v>12.0015</v>
      </c>
      <c r="R394">
        <v>11.345700000000001</v>
      </c>
      <c r="S394" s="10">
        <v>78.751000000000005</v>
      </c>
      <c r="T394" s="10">
        <v>30.264700000000001</v>
      </c>
      <c r="U394" s="10">
        <v>33.841799999999999</v>
      </c>
      <c r="V394" s="10">
        <v>12.936999999999999</v>
      </c>
      <c r="W394" s="10">
        <v>16.181799999999999</v>
      </c>
      <c r="X394" s="10">
        <v>10.0504</v>
      </c>
      <c r="Y394" s="10">
        <v>14.4725</v>
      </c>
      <c r="Z394" s="10">
        <v>22.4026</v>
      </c>
      <c r="AA394" s="10">
        <v>31.455300000000001</v>
      </c>
      <c r="AB394" s="10">
        <v>48.839599999999997</v>
      </c>
      <c r="AC394" s="10">
        <v>17.756</v>
      </c>
      <c r="AD394" s="10">
        <v>10.2059</v>
      </c>
      <c r="AG394" s="10">
        <v>10.203799999999999</v>
      </c>
      <c r="AH394" s="10">
        <v>13.5229</v>
      </c>
      <c r="AI394" s="10">
        <v>10.928599999999999</v>
      </c>
      <c r="AJ394" s="10">
        <v>30.4008</v>
      </c>
      <c r="AK394" s="10">
        <v>29.205300000000001</v>
      </c>
      <c r="AN394" s="10">
        <v>11.1881</v>
      </c>
      <c r="AO394" s="10">
        <v>5.8243</v>
      </c>
      <c r="AP394" s="10">
        <v>6.8562000000000003</v>
      </c>
      <c r="AQ394" s="10">
        <v>7.3491</v>
      </c>
      <c r="AR394" s="10">
        <v>18.615300000000001</v>
      </c>
      <c r="AS394" s="10">
        <v>11.8428</v>
      </c>
      <c r="AT394" s="10">
        <v>12.572699999999999</v>
      </c>
      <c r="AU394" s="10">
        <v>23.595300000000002</v>
      </c>
      <c r="AV394" s="10">
        <v>23.561900000000001</v>
      </c>
      <c r="AW394" s="10">
        <v>20.193000000000001</v>
      </c>
      <c r="AX394" s="10">
        <v>32.326599999999999</v>
      </c>
      <c r="AZ394">
        <v>20.901800000000001</v>
      </c>
      <c r="BA394">
        <v>30.763000000000002</v>
      </c>
      <c r="BB394">
        <v>22.5839</v>
      </c>
      <c r="BC394">
        <v>11.028499999999999</v>
      </c>
      <c r="BD394">
        <v>19.3215</v>
      </c>
    </row>
    <row r="395" spans="1:56">
      <c r="A395" s="17">
        <v>46165</v>
      </c>
      <c r="C395">
        <v>18.9072</v>
      </c>
      <c r="D395">
        <v>74.9101</v>
      </c>
      <c r="E395">
        <v>13.5764</v>
      </c>
      <c r="G395">
        <v>14.535500000000001</v>
      </c>
      <c r="H395">
        <v>11.8177</v>
      </c>
      <c r="L395" s="10">
        <v>23.814399999999999</v>
      </c>
      <c r="M395" s="10">
        <v>26.468800000000002</v>
      </c>
      <c r="N395" s="10">
        <v>11.7501</v>
      </c>
      <c r="R395">
        <v>11.409700000000001</v>
      </c>
      <c r="S395" s="10">
        <v>79.631</v>
      </c>
      <c r="T395" s="10">
        <v>30.143999999999998</v>
      </c>
      <c r="U395" s="10">
        <v>34.255899999999997</v>
      </c>
      <c r="V395" s="10">
        <v>12.5733</v>
      </c>
      <c r="W395" s="10">
        <v>15.8202</v>
      </c>
      <c r="X395" s="10">
        <v>9.6692</v>
      </c>
      <c r="Y395" s="10">
        <v>13.8643</v>
      </c>
      <c r="Z395" s="10">
        <v>21.461200000000002</v>
      </c>
      <c r="AA395" s="10">
        <v>31.258600000000001</v>
      </c>
      <c r="AB395" s="10">
        <v>48.535600000000002</v>
      </c>
      <c r="AC395" s="10">
        <v>17.66</v>
      </c>
      <c r="AD395" s="10">
        <v>10.230600000000001</v>
      </c>
      <c r="AG395" s="10">
        <v>9.9812999999999992</v>
      </c>
      <c r="AH395" s="10">
        <v>13.289899999999999</v>
      </c>
      <c r="AI395" s="10">
        <v>11.2364</v>
      </c>
      <c r="AJ395" s="10">
        <v>30.232199999999999</v>
      </c>
      <c r="AK395" s="10">
        <v>29.302499999999998</v>
      </c>
      <c r="AN395" s="10">
        <v>11.298</v>
      </c>
      <c r="AO395" s="10">
        <v>5.6536</v>
      </c>
      <c r="AP395" s="10">
        <v>6.8634000000000004</v>
      </c>
      <c r="AQ395" s="10">
        <v>7.2317999999999998</v>
      </c>
      <c r="AR395" s="10">
        <v>18.495000000000001</v>
      </c>
      <c r="AS395" s="10">
        <v>12.0235</v>
      </c>
      <c r="AT395" s="10">
        <v>12.9465</v>
      </c>
      <c r="AU395" s="10">
        <v>23.467400000000001</v>
      </c>
      <c r="AV395" s="10">
        <v>23.7133</v>
      </c>
      <c r="AW395" s="10">
        <v>17.584199999999999</v>
      </c>
      <c r="AX395" s="10">
        <v>33.253500000000003</v>
      </c>
      <c r="AZ395">
        <v>20.788</v>
      </c>
      <c r="BA395">
        <v>30.545100000000001</v>
      </c>
      <c r="BB395">
        <v>22.42</v>
      </c>
      <c r="BC395">
        <v>11.0124</v>
      </c>
      <c r="BD395">
        <v>19.435500000000001</v>
      </c>
    </row>
    <row r="396" spans="1:56">
      <c r="A396" s="17">
        <v>46172</v>
      </c>
      <c r="C396">
        <v>19.395199999999999</v>
      </c>
      <c r="D396">
        <v>75.915599999999998</v>
      </c>
      <c r="E396">
        <v>13.642300000000001</v>
      </c>
      <c r="G396">
        <v>14.594200000000001</v>
      </c>
      <c r="H396">
        <v>11.843299999999999</v>
      </c>
      <c r="L396" s="10">
        <v>24.821100000000001</v>
      </c>
      <c r="M396" s="10">
        <v>26.360299999999999</v>
      </c>
      <c r="N396" s="10">
        <v>12.0245</v>
      </c>
      <c r="R396">
        <v>11.497999999999999</v>
      </c>
      <c r="S396" s="10">
        <v>80.657499999999999</v>
      </c>
      <c r="T396" s="10">
        <v>29.94</v>
      </c>
      <c r="U396" s="10">
        <v>34.942999999999998</v>
      </c>
      <c r="V396" s="10">
        <v>12.423299999999999</v>
      </c>
      <c r="W396" s="10">
        <v>16.568999999999999</v>
      </c>
      <c r="X396" s="10">
        <v>10.1859</v>
      </c>
      <c r="Y396" s="10">
        <v>15.0428</v>
      </c>
      <c r="Z396" s="10">
        <v>23.285499999999999</v>
      </c>
      <c r="AA396" s="10">
        <v>32.164999999999999</v>
      </c>
      <c r="AB396" s="10">
        <v>49.943399999999997</v>
      </c>
      <c r="AC396" s="10">
        <v>17.946000000000002</v>
      </c>
      <c r="AD396" s="10">
        <v>10.408300000000001</v>
      </c>
      <c r="AG396" s="10">
        <v>9.9961000000000002</v>
      </c>
      <c r="AH396" s="10">
        <v>13.352499999999999</v>
      </c>
      <c r="AI396" s="10">
        <v>11.448600000000001</v>
      </c>
      <c r="AJ396" s="10">
        <v>30.103400000000001</v>
      </c>
      <c r="AK396" s="10">
        <v>29.495100000000001</v>
      </c>
      <c r="AN396" s="10">
        <v>11.3146</v>
      </c>
      <c r="AO396" s="10">
        <v>5.6220999999999997</v>
      </c>
      <c r="AP396" s="10">
        <v>6.9592999999999998</v>
      </c>
      <c r="AQ396" s="10">
        <v>7.1174999999999997</v>
      </c>
      <c r="AR396" s="10">
        <v>19.289899999999999</v>
      </c>
      <c r="AS396" s="10">
        <v>12.0359</v>
      </c>
      <c r="AT396" s="10">
        <v>12.9931</v>
      </c>
      <c r="AU396" s="10">
        <v>23.3568</v>
      </c>
      <c r="AV396" s="10">
        <v>24.0458</v>
      </c>
      <c r="AW396" s="10">
        <v>16.990200000000002</v>
      </c>
      <c r="AX396" s="10">
        <v>34.774900000000002</v>
      </c>
      <c r="AZ396">
        <v>20.6995</v>
      </c>
      <c r="BA396">
        <v>31.016200000000001</v>
      </c>
      <c r="BB396">
        <v>22.764700000000001</v>
      </c>
      <c r="BC396">
        <v>11.0159</v>
      </c>
      <c r="BD396">
        <v>19.598800000000001</v>
      </c>
    </row>
    <row r="397" spans="1:56">
      <c r="A397" s="17">
        <v>46179</v>
      </c>
      <c r="C397">
        <v>19.134799999999998</v>
      </c>
      <c r="D397">
        <v>76.658100000000005</v>
      </c>
      <c r="E397">
        <v>13.729799999999999</v>
      </c>
      <c r="G397">
        <v>14.5205</v>
      </c>
      <c r="H397">
        <v>11.854900000000001</v>
      </c>
      <c r="L397" s="10">
        <v>25.270900000000001</v>
      </c>
      <c r="M397" s="10">
        <v>26.062799999999999</v>
      </c>
      <c r="N397" s="10">
        <v>12.2928</v>
      </c>
      <c r="R397">
        <v>11.613899999999999</v>
      </c>
      <c r="S397" s="10">
        <v>81.4024</v>
      </c>
      <c r="T397" s="10">
        <v>29.658200000000001</v>
      </c>
      <c r="U397" s="10">
        <v>36.246699999999997</v>
      </c>
      <c r="V397" s="10">
        <v>12.4109</v>
      </c>
      <c r="W397" s="10">
        <v>16.104700000000001</v>
      </c>
      <c r="X397" s="10">
        <v>10.1402</v>
      </c>
      <c r="Y397" s="10">
        <v>15.857200000000001</v>
      </c>
      <c r="Z397" s="10">
        <v>24.546099999999999</v>
      </c>
      <c r="AA397" s="10">
        <v>31.8447</v>
      </c>
      <c r="AB397" s="10">
        <v>50.216200000000001</v>
      </c>
      <c r="AC397" s="10">
        <v>18.0319</v>
      </c>
      <c r="AD397" s="10">
        <v>10.7029</v>
      </c>
      <c r="AG397" s="10">
        <v>10.014699999999999</v>
      </c>
      <c r="AH397" s="10">
        <v>13.3947</v>
      </c>
      <c r="AI397" s="10">
        <v>11.629300000000001</v>
      </c>
      <c r="AJ397" s="10">
        <v>29.7575</v>
      </c>
      <c r="AK397" s="10">
        <v>29.680299999999999</v>
      </c>
      <c r="AN397" s="10">
        <v>11.463800000000001</v>
      </c>
      <c r="AO397" s="10">
        <v>5.6532999999999998</v>
      </c>
      <c r="AP397" s="10">
        <v>6.9397000000000002</v>
      </c>
      <c r="AQ397" s="10">
        <v>7.1651999999999996</v>
      </c>
      <c r="AR397" s="10">
        <v>19.790500000000002</v>
      </c>
      <c r="AS397" s="10">
        <v>12.2563</v>
      </c>
      <c r="AT397" s="10">
        <v>13.2065</v>
      </c>
      <c r="AU397" s="10">
        <v>23.110099999999999</v>
      </c>
      <c r="AV397" s="10">
        <v>23.820799999999998</v>
      </c>
      <c r="AW397" s="10">
        <v>17.192499999999999</v>
      </c>
      <c r="AX397" s="10">
        <v>35.047600000000003</v>
      </c>
      <c r="AZ397">
        <v>20.471800000000002</v>
      </c>
      <c r="BA397">
        <v>31.0946</v>
      </c>
      <c r="BB397">
        <v>22.822800000000001</v>
      </c>
      <c r="BC397">
        <v>11.009399999999999</v>
      </c>
      <c r="BD397">
        <v>19.586200000000002</v>
      </c>
    </row>
    <row r="398" spans="1:56">
      <c r="A398" s="17">
        <v>46186</v>
      </c>
      <c r="C398">
        <v>19.287400000000002</v>
      </c>
      <c r="D398">
        <v>76.6357</v>
      </c>
      <c r="E398">
        <v>13.3919</v>
      </c>
      <c r="G398">
        <v>14.2445</v>
      </c>
      <c r="H398">
        <v>11.872299999999999</v>
      </c>
      <c r="L398" s="10">
        <v>23.892499999999998</v>
      </c>
      <c r="M398" s="10">
        <v>24.555099999999999</v>
      </c>
      <c r="N398" s="10">
        <v>11.7371</v>
      </c>
      <c r="R398">
        <v>11.648</v>
      </c>
      <c r="S398" s="10">
        <v>81.940299999999993</v>
      </c>
      <c r="T398" s="10">
        <v>28.065200000000001</v>
      </c>
      <c r="U398" s="10">
        <v>33.7712</v>
      </c>
      <c r="V398">
        <v>12.3279</v>
      </c>
      <c r="W398" s="10">
        <v>15.440799999999999</v>
      </c>
      <c r="X398" s="10">
        <v>9.4114000000000004</v>
      </c>
      <c r="Y398" s="10">
        <v>14.393700000000001</v>
      </c>
      <c r="Z398" s="10">
        <v>22.2806</v>
      </c>
      <c r="AA398" s="10">
        <v>30.831</v>
      </c>
      <c r="AB398" s="10">
        <v>48.6175</v>
      </c>
      <c r="AC398" s="10">
        <v>17.6584</v>
      </c>
      <c r="AD398" s="10">
        <v>10.372</v>
      </c>
      <c r="AG398" s="10">
        <v>9.8252000000000006</v>
      </c>
      <c r="AH398" s="10">
        <v>13.5289</v>
      </c>
      <c r="AI398" s="10">
        <v>11.498200000000001</v>
      </c>
      <c r="AJ398" s="10">
        <v>28.0244</v>
      </c>
      <c r="AK398" s="10">
        <v>29.7333</v>
      </c>
      <c r="AN398" s="10">
        <v>11.425700000000001</v>
      </c>
      <c r="AO398" s="10">
        <v>5.4375999999999998</v>
      </c>
      <c r="AP398" s="10">
        <v>6.6379000000000001</v>
      </c>
      <c r="AQ398" s="10">
        <v>7.1204999999999998</v>
      </c>
      <c r="AR398" s="10">
        <v>18.7486</v>
      </c>
      <c r="AS398" s="10">
        <v>12.189500000000001</v>
      </c>
      <c r="AT398" s="10">
        <v>12.9971</v>
      </c>
      <c r="AU398" s="10">
        <v>21.8262</v>
      </c>
      <c r="AV398" s="10">
        <v>23.6983</v>
      </c>
      <c r="AW398" s="10">
        <v>14.891</v>
      </c>
      <c r="AX398" s="10">
        <v>34.690300000000001</v>
      </c>
      <c r="AZ398">
        <v>19.315200000000001</v>
      </c>
      <c r="BA398">
        <v>30.263400000000001</v>
      </c>
      <c r="BB398">
        <v>22.211099999999998</v>
      </c>
      <c r="BC398">
        <v>10.887</v>
      </c>
      <c r="BD398">
        <v>19.482099999999999</v>
      </c>
    </row>
    <row r="399" spans="1:56">
      <c r="A399" s="17">
        <v>46193</v>
      </c>
      <c r="C399">
        <v>20.015499999999999</v>
      </c>
      <c r="D399">
        <v>76.3887</v>
      </c>
      <c r="E399">
        <v>13.572800000000001</v>
      </c>
      <c r="G399">
        <v>14.0867</v>
      </c>
      <c r="H399">
        <v>14.0867</v>
      </c>
      <c r="L399" s="10">
        <v>25.695399999999999</v>
      </c>
      <c r="M399" s="10">
        <v>24.283999999999999</v>
      </c>
      <c r="N399" s="10">
        <v>12.118</v>
      </c>
      <c r="R399">
        <v>11.625</v>
      </c>
      <c r="S399" s="10">
        <v>80.832400000000007</v>
      </c>
      <c r="T399" s="10">
        <v>27.917999999999999</v>
      </c>
      <c r="U399" s="10">
        <v>34.4114</v>
      </c>
      <c r="V399" s="10">
        <v>11.7986</v>
      </c>
      <c r="W399" s="10">
        <v>16.2881</v>
      </c>
      <c r="X399" s="10">
        <v>9.9741</v>
      </c>
      <c r="Y399" s="10">
        <v>15.5649</v>
      </c>
      <c r="Z399" s="10">
        <v>24.093499999999999</v>
      </c>
      <c r="AA399" s="10">
        <v>31.813500000000001</v>
      </c>
      <c r="AB399" s="10">
        <v>50.1708</v>
      </c>
      <c r="AC399" s="10">
        <v>17.958600000000001</v>
      </c>
      <c r="AD399" s="10">
        <v>10.8658</v>
      </c>
      <c r="AG399" s="10">
        <v>9.9677000000000007</v>
      </c>
      <c r="AH399" s="10">
        <v>13.6463</v>
      </c>
      <c r="AI399" s="10">
        <v>11.8931</v>
      </c>
      <c r="AJ399" s="10">
        <v>28.380099999999999</v>
      </c>
      <c r="AK399" s="10">
        <v>29.715199999999999</v>
      </c>
      <c r="AN399" s="10">
        <v>11.527799999999999</v>
      </c>
      <c r="AO399" s="10">
        <v>5.4935999999999998</v>
      </c>
      <c r="AP399" s="10">
        <v>6.9484000000000004</v>
      </c>
      <c r="AQ399" s="10">
        <v>6.7773000000000003</v>
      </c>
      <c r="AR399" s="10">
        <v>19.482199999999999</v>
      </c>
      <c r="AS399" s="10">
        <v>12.343</v>
      </c>
      <c r="AT399" s="10">
        <v>13.4566</v>
      </c>
      <c r="AU399" s="10">
        <v>21.593399999999999</v>
      </c>
      <c r="AV399" s="10">
        <v>24.048100000000002</v>
      </c>
      <c r="AW399" s="10">
        <v>16.741499999999998</v>
      </c>
      <c r="AX399" s="10">
        <v>37.480400000000003</v>
      </c>
      <c r="AZ399">
        <v>19.101099999999999</v>
      </c>
      <c r="BA399">
        <v>28.610399999999998</v>
      </c>
      <c r="BB399">
        <v>22.528300000000002</v>
      </c>
      <c r="BC399">
        <v>10.9107</v>
      </c>
      <c r="BD399">
        <v>19.9084</v>
      </c>
    </row>
    <row r="400" spans="1:56">
      <c r="AY400" t="s">
        <v>24</v>
      </c>
    </row>
    <row r="411" spans="10:45">
      <c r="AS411" t="s">
        <v>24</v>
      </c>
    </row>
    <row r="412" spans="10:45">
      <c r="J412" s="17"/>
      <c r="AK412" s="17"/>
    </row>
    <row r="500" spans="1:57">
      <c r="A500" t="s">
        <v>115</v>
      </c>
      <c r="B500" s="19" t="e">
        <f>(B484-B483)/B483</f>
        <v>#DIV/0!</v>
      </c>
      <c r="C500" s="19">
        <f>(C399-C398)/C398</f>
        <v>3.7750033700757885E-2</v>
      </c>
      <c r="D500" s="19">
        <f t="shared" ref="D500:BD500" si="0">(D399-D398)/D398</f>
        <v>-3.223040958717672E-3</v>
      </c>
      <c r="E500" s="19">
        <f t="shared" si="0"/>
        <v>1.3508165383552833E-2</v>
      </c>
      <c r="F500" s="19" t="e">
        <f t="shared" si="0"/>
        <v>#DIV/0!</v>
      </c>
      <c r="G500" s="19">
        <f t="shared" si="0"/>
        <v>-1.1077959914352904E-2</v>
      </c>
      <c r="H500" s="19">
        <f t="shared" si="0"/>
        <v>0.18651819782182066</v>
      </c>
      <c r="I500" s="19" t="e">
        <f t="shared" si="0"/>
        <v>#DIV/0!</v>
      </c>
      <c r="J500" s="19" t="e">
        <f t="shared" si="0"/>
        <v>#DIV/0!</v>
      </c>
      <c r="K500" s="19" t="e">
        <f t="shared" si="0"/>
        <v>#DIV/0!</v>
      </c>
      <c r="L500" s="19">
        <f t="shared" si="0"/>
        <v>7.5458825991419953E-2</v>
      </c>
      <c r="M500" s="19">
        <f t="shared" si="0"/>
        <v>-1.1040476316528972E-2</v>
      </c>
      <c r="N500" s="19">
        <f t="shared" si="0"/>
        <v>3.2452650143561905E-2</v>
      </c>
      <c r="O500" s="19" t="e">
        <f t="shared" si="0"/>
        <v>#DIV/0!</v>
      </c>
      <c r="P500" s="19" t="e">
        <f t="shared" si="0"/>
        <v>#DIV/0!</v>
      </c>
      <c r="Q500" s="19" t="e">
        <f t="shared" si="0"/>
        <v>#DIV/0!</v>
      </c>
      <c r="R500" s="19">
        <f t="shared" si="0"/>
        <v>-1.9745879120878851E-3</v>
      </c>
      <c r="S500" s="19">
        <f t="shared" si="0"/>
        <v>-1.3520819425850121E-2</v>
      </c>
      <c r="T500" s="19">
        <f t="shared" si="0"/>
        <v>-5.2449296637829606E-3</v>
      </c>
      <c r="U500" s="19">
        <f t="shared" si="0"/>
        <v>1.895698109631876E-2</v>
      </c>
      <c r="V500" s="19">
        <f t="shared" si="0"/>
        <v>-4.2935130881983079E-2</v>
      </c>
      <c r="W500" s="19">
        <f t="shared" si="0"/>
        <v>5.4874099787575813E-2</v>
      </c>
      <c r="X500" s="19">
        <f t="shared" si="0"/>
        <v>5.9789191831183405E-2</v>
      </c>
      <c r="Y500" s="19">
        <f t="shared" si="0"/>
        <v>8.1368932241188768E-2</v>
      </c>
      <c r="Z500" s="19">
        <f t="shared" si="0"/>
        <v>8.1366749548934914E-2</v>
      </c>
      <c r="AA500" s="19">
        <f t="shared" si="0"/>
        <v>3.1867276442541656E-2</v>
      </c>
      <c r="AB500" s="19">
        <f t="shared" si="0"/>
        <v>3.1949400935877004E-2</v>
      </c>
      <c r="AC500" s="19">
        <f t="shared" si="0"/>
        <v>1.7000407737960417E-2</v>
      </c>
      <c r="AD500" s="19">
        <f t="shared" si="0"/>
        <v>4.7608947165445455E-2</v>
      </c>
      <c r="AE500" s="19" t="e">
        <f t="shared" si="0"/>
        <v>#DIV/0!</v>
      </c>
      <c r="AF500" s="19" t="e">
        <f t="shared" si="0"/>
        <v>#DIV/0!</v>
      </c>
      <c r="AG500" s="19">
        <f t="shared" si="0"/>
        <v>1.4503521556813099E-2</v>
      </c>
      <c r="AH500" s="19">
        <f t="shared" si="0"/>
        <v>8.6777195485220494E-3</v>
      </c>
      <c r="AI500" s="19">
        <f t="shared" si="0"/>
        <v>3.4344506096606407E-2</v>
      </c>
      <c r="AJ500" s="19">
        <f t="shared" si="0"/>
        <v>1.2692510812006636E-2</v>
      </c>
      <c r="AK500" s="19">
        <f t="shared" si="0"/>
        <v>-6.0874507706848717E-4</v>
      </c>
      <c r="AL500" s="19" t="e">
        <f t="shared" si="0"/>
        <v>#DIV/0!</v>
      </c>
      <c r="AM500" s="19" t="e">
        <f t="shared" si="0"/>
        <v>#DIV/0!</v>
      </c>
      <c r="AN500" s="19">
        <f t="shared" si="0"/>
        <v>8.9359951687860081E-3</v>
      </c>
      <c r="AO500" s="19">
        <f t="shared" si="0"/>
        <v>1.0298661174047383E-2</v>
      </c>
      <c r="AP500" s="19">
        <f t="shared" si="0"/>
        <v>4.6776842073547389E-2</v>
      </c>
      <c r="AQ500" s="19">
        <f t="shared" si="0"/>
        <v>-4.8198862439435365E-2</v>
      </c>
      <c r="AR500" s="19">
        <f t="shared" si="0"/>
        <v>3.9128254909699879E-2</v>
      </c>
      <c r="AS500" s="19">
        <f t="shared" si="0"/>
        <v>1.2592805283235513E-2</v>
      </c>
      <c r="AT500" s="19">
        <f t="shared" si="0"/>
        <v>3.5354040516730675E-2</v>
      </c>
      <c r="AU500" s="19">
        <f t="shared" si="0"/>
        <v>-1.0666080215520842E-2</v>
      </c>
      <c r="AV500" s="19">
        <f t="shared" si="0"/>
        <v>1.4760552444690204E-2</v>
      </c>
      <c r="AW500" s="19">
        <f t="shared" si="0"/>
        <v>0.1242696931032166</v>
      </c>
      <c r="AX500" s="19">
        <f t="shared" si="0"/>
        <v>8.0428823042752659E-2</v>
      </c>
      <c r="AY500" s="19" t="e">
        <f t="shared" si="0"/>
        <v>#DIV/0!</v>
      </c>
      <c r="AZ500" s="19">
        <f t="shared" si="0"/>
        <v>-1.1084534459907324E-2</v>
      </c>
      <c r="BA500" s="19">
        <f t="shared" si="0"/>
        <v>-5.4620432601756648E-2</v>
      </c>
      <c r="BB500" s="19">
        <f t="shared" si="0"/>
        <v>1.428114771443122E-2</v>
      </c>
      <c r="BC500" s="19">
        <f t="shared" si="0"/>
        <v>2.1769082391843329E-3</v>
      </c>
      <c r="BD500" s="19">
        <f t="shared" si="0"/>
        <v>2.1881624670851769E-2</v>
      </c>
      <c r="BE500" s="19" t="e">
        <f t="shared" ref="BE500" si="1">(BE395-BE394)/BE394</f>
        <v>#DIV/0!</v>
      </c>
    </row>
    <row r="501" spans="1:57">
      <c r="A501" t="s">
        <v>56</v>
      </c>
      <c r="B501" s="19" t="e">
        <f>(B482-B480)/B480</f>
        <v>#DIV/0!</v>
      </c>
      <c r="C501" s="19">
        <f>(C399-C397)/C397</f>
        <v>4.6026088592512122E-2</v>
      </c>
      <c r="D501" s="19">
        <f t="shared" ref="D501:BD501" si="2">(D399-D397)/D397</f>
        <v>-3.5143057289445537E-3</v>
      </c>
      <c r="E501" s="19">
        <f t="shared" si="2"/>
        <v>-1.1434980844586102E-2</v>
      </c>
      <c r="F501" s="19" t="e">
        <f t="shared" si="2"/>
        <v>#DIV/0!</v>
      </c>
      <c r="G501" s="19">
        <f t="shared" si="2"/>
        <v>-2.9875004304259475E-2</v>
      </c>
      <c r="H501" s="19">
        <f t="shared" si="2"/>
        <v>0.18825970695661706</v>
      </c>
      <c r="I501" s="19" t="e">
        <f t="shared" si="2"/>
        <v>#DIV/0!</v>
      </c>
      <c r="J501" s="19" t="e">
        <f t="shared" si="2"/>
        <v>#DIV/0!</v>
      </c>
      <c r="K501" s="19" t="e">
        <f t="shared" si="2"/>
        <v>#DIV/0!</v>
      </c>
      <c r="L501" s="19">
        <f t="shared" si="2"/>
        <v>1.6797977119928389E-2</v>
      </c>
      <c r="M501" s="19">
        <f t="shared" si="2"/>
        <v>-6.8250533327194329E-2</v>
      </c>
      <c r="N501" s="19">
        <f t="shared" si="2"/>
        <v>-1.4219705844071277E-2</v>
      </c>
      <c r="O501" s="19" t="e">
        <f t="shared" si="2"/>
        <v>#DIV/0!</v>
      </c>
      <c r="P501" s="19" t="e">
        <f t="shared" si="2"/>
        <v>#DIV/0!</v>
      </c>
      <c r="Q501" s="19" t="e">
        <f t="shared" si="2"/>
        <v>#DIV/0!</v>
      </c>
      <c r="R501" s="19">
        <f t="shared" si="2"/>
        <v>9.5575129801365403E-4</v>
      </c>
      <c r="S501" s="19">
        <f t="shared" si="2"/>
        <v>-7.0022505478953096E-3</v>
      </c>
      <c r="T501" s="19">
        <f t="shared" si="2"/>
        <v>-5.8675172464950721E-2</v>
      </c>
      <c r="U501" s="19">
        <f t="shared" si="2"/>
        <v>-5.063357491854422E-2</v>
      </c>
      <c r="V501" s="19">
        <f t="shared" si="2"/>
        <v>-4.9335664617392729E-2</v>
      </c>
      <c r="W501" s="19">
        <f t="shared" si="2"/>
        <v>1.1387979906486857E-2</v>
      </c>
      <c r="X501" s="19">
        <f t="shared" si="2"/>
        <v>-1.6380347527662188E-2</v>
      </c>
      <c r="Y501" s="19">
        <f t="shared" si="2"/>
        <v>-1.8433266907146337E-2</v>
      </c>
      <c r="Z501" s="19">
        <f t="shared" si="2"/>
        <v>-1.8438774387784632E-2</v>
      </c>
      <c r="AA501" s="19">
        <f t="shared" si="2"/>
        <v>-9.7975487286733245E-4</v>
      </c>
      <c r="AB501" s="19">
        <f t="shared" si="2"/>
        <v>-9.0409071176235508E-4</v>
      </c>
      <c r="AC501" s="19">
        <f t="shared" si="2"/>
        <v>-4.0650181067995996E-3</v>
      </c>
      <c r="AD501" s="19">
        <f t="shared" si="2"/>
        <v>1.522017397154047E-2</v>
      </c>
      <c r="AE501" s="19" t="e">
        <f t="shared" si="2"/>
        <v>#DIV/0!</v>
      </c>
      <c r="AF501" s="19" t="e">
        <f t="shared" si="2"/>
        <v>#DIV/0!</v>
      </c>
      <c r="AG501" s="19">
        <f t="shared" si="2"/>
        <v>-4.6931011413221388E-3</v>
      </c>
      <c r="AH501" s="19">
        <f t="shared" si="2"/>
        <v>1.8783548717029856E-2</v>
      </c>
      <c r="AI501" s="19">
        <f t="shared" si="2"/>
        <v>2.268408244692284E-2</v>
      </c>
      <c r="AJ501" s="19">
        <f t="shared" si="2"/>
        <v>-4.6287490548601241E-2</v>
      </c>
      <c r="AK501" s="19">
        <f t="shared" si="2"/>
        <v>1.175864125362627E-3</v>
      </c>
      <c r="AL501" s="19" t="e">
        <f t="shared" si="2"/>
        <v>#DIV/0!</v>
      </c>
      <c r="AM501" s="19" t="e">
        <f t="shared" si="2"/>
        <v>#DIV/0!</v>
      </c>
      <c r="AN501" s="19">
        <f t="shared" si="2"/>
        <v>5.5827910465987085E-3</v>
      </c>
      <c r="AO501" s="19">
        <f t="shared" si="2"/>
        <v>-2.8248987317142194E-2</v>
      </c>
      <c r="AP501" s="19">
        <f t="shared" si="2"/>
        <v>1.2536564981195371E-3</v>
      </c>
      <c r="AQ501" s="19">
        <f t="shared" si="2"/>
        <v>-5.4136660525874958E-2</v>
      </c>
      <c r="AR501" s="19">
        <f t="shared" si="2"/>
        <v>-1.5578181450696175E-2</v>
      </c>
      <c r="AS501" s="19">
        <f t="shared" si="2"/>
        <v>7.0739130080040838E-3</v>
      </c>
      <c r="AT501" s="19">
        <f t="shared" si="2"/>
        <v>1.8937644341801368E-2</v>
      </c>
      <c r="AU501" s="19">
        <f t="shared" si="2"/>
        <v>-6.5629313590161886E-2</v>
      </c>
      <c r="AV501" s="19">
        <f t="shared" si="2"/>
        <v>9.5420808704998646E-3</v>
      </c>
      <c r="AW501" s="19">
        <f t="shared" si="2"/>
        <v>-2.6232368765450081E-2</v>
      </c>
      <c r="AX501" s="19">
        <f t="shared" si="2"/>
        <v>6.9414168159874001E-2</v>
      </c>
      <c r="AY501" s="19" t="e">
        <f t="shared" si="2"/>
        <v>#DIV/0!</v>
      </c>
      <c r="AZ501" s="19">
        <f t="shared" si="2"/>
        <v>-6.6955519299719754E-2</v>
      </c>
      <c r="BA501" s="19">
        <f t="shared" si="2"/>
        <v>-7.9891685373023005E-2</v>
      </c>
      <c r="BB501" s="19">
        <f t="shared" si="2"/>
        <v>-1.2903762903762873E-2</v>
      </c>
      <c r="BC501" s="19">
        <f t="shared" si="2"/>
        <v>-8.96506621614249E-3</v>
      </c>
      <c r="BD501" s="19">
        <f t="shared" si="2"/>
        <v>1.6450357905055533E-2</v>
      </c>
      <c r="BE501" s="19" t="e">
        <f t="shared" ref="BE501" si="3">(BE395-BE393)/BE393</f>
        <v>#DIV/0!</v>
      </c>
    </row>
    <row r="502" spans="1:57">
      <c r="A502" t="s">
        <v>116</v>
      </c>
      <c r="B502" s="19" t="e">
        <f>(B482-B479)/B479</f>
        <v>#DIV/0!</v>
      </c>
      <c r="C502" s="19">
        <f>(C399-C396)/C396</f>
        <v>3.1982139910905809E-2</v>
      </c>
      <c r="D502" s="19">
        <f t="shared" ref="D502:BD502" si="4">(D399-D396)/D396</f>
        <v>6.2319207119485628E-3</v>
      </c>
      <c r="E502" s="19">
        <f t="shared" si="4"/>
        <v>-5.0944488832527996E-3</v>
      </c>
      <c r="F502" s="19" t="e">
        <f t="shared" si="4"/>
        <v>#DIV/0!</v>
      </c>
      <c r="G502" s="19">
        <f t="shared" si="4"/>
        <v>-3.477408833646245E-2</v>
      </c>
      <c r="H502" s="19">
        <f t="shared" si="4"/>
        <v>0.18942355593457916</v>
      </c>
      <c r="I502" s="19" t="e">
        <f t="shared" si="4"/>
        <v>#DIV/0!</v>
      </c>
      <c r="J502" s="19" t="e">
        <f t="shared" si="4"/>
        <v>#DIV/0!</v>
      </c>
      <c r="K502" s="19" t="e">
        <f t="shared" si="4"/>
        <v>#DIV/0!</v>
      </c>
      <c r="L502" s="19">
        <f t="shared" si="4"/>
        <v>3.5224063397673672E-2</v>
      </c>
      <c r="M502" s="19">
        <f t="shared" si="4"/>
        <v>-7.8766174891788027E-2</v>
      </c>
      <c r="N502" s="19">
        <f t="shared" si="4"/>
        <v>7.7757910931847965E-3</v>
      </c>
      <c r="O502" s="19" t="e">
        <f t="shared" si="4"/>
        <v>#DIV/0!</v>
      </c>
      <c r="P502" s="19" t="e">
        <f t="shared" si="4"/>
        <v>#DIV/0!</v>
      </c>
      <c r="Q502" s="19" t="e">
        <f t="shared" si="4"/>
        <v>#DIV/0!</v>
      </c>
      <c r="R502" s="19">
        <f t="shared" si="4"/>
        <v>1.1045399199860905E-2</v>
      </c>
      <c r="S502" s="19">
        <f t="shared" si="4"/>
        <v>2.1684282304808363E-3</v>
      </c>
      <c r="T502" s="19">
        <f t="shared" si="4"/>
        <v>-6.7535070140280623E-2</v>
      </c>
      <c r="U502" s="19">
        <f t="shared" si="4"/>
        <v>-1.5213347451563903E-2</v>
      </c>
      <c r="V502" s="19">
        <f t="shared" si="4"/>
        <v>-5.0284545974096977E-2</v>
      </c>
      <c r="W502" s="19">
        <f t="shared" si="4"/>
        <v>-1.6953346611141232E-2</v>
      </c>
      <c r="X502" s="19">
        <f t="shared" si="4"/>
        <v>-2.0793449768798065E-2</v>
      </c>
      <c r="Y502" s="19">
        <f t="shared" si="4"/>
        <v>3.4707634217034065E-2</v>
      </c>
      <c r="Z502" s="19">
        <f t="shared" si="4"/>
        <v>3.4699705825513724E-2</v>
      </c>
      <c r="AA502" s="19">
        <f t="shared" si="4"/>
        <v>-1.0928027358930449E-2</v>
      </c>
      <c r="AB502" s="19">
        <f t="shared" si="4"/>
        <v>4.5531541705210888E-3</v>
      </c>
      <c r="AC502" s="19">
        <f t="shared" si="4"/>
        <v>7.0210631895681796E-4</v>
      </c>
      <c r="AD502" s="19">
        <f t="shared" si="4"/>
        <v>4.3955304900896358E-2</v>
      </c>
      <c r="AE502" s="19" t="e">
        <f t="shared" si="4"/>
        <v>#DIV/0!</v>
      </c>
      <c r="AF502" s="19" t="e">
        <f t="shared" si="4"/>
        <v>#DIV/0!</v>
      </c>
      <c r="AG502" s="19">
        <f t="shared" si="4"/>
        <v>-2.8411080321324852E-3</v>
      </c>
      <c r="AH502" s="19">
        <f t="shared" si="4"/>
        <v>2.2003370155401682E-2</v>
      </c>
      <c r="AI502" s="19">
        <f t="shared" si="4"/>
        <v>3.8825707946823163E-2</v>
      </c>
      <c r="AJ502" s="19">
        <f t="shared" si="4"/>
        <v>-5.7246025365905569E-2</v>
      </c>
      <c r="AK502" s="19">
        <f t="shared" si="4"/>
        <v>7.4622564425955032E-3</v>
      </c>
      <c r="AL502" s="19" t="e">
        <f t="shared" si="4"/>
        <v>#DIV/0!</v>
      </c>
      <c r="AM502" s="19" t="e">
        <f t="shared" si="4"/>
        <v>#DIV/0!</v>
      </c>
      <c r="AN502" s="19">
        <f t="shared" si="4"/>
        <v>1.884291092924175E-2</v>
      </c>
      <c r="AO502" s="19">
        <f t="shared" si="4"/>
        <v>-2.2856228099820325E-2</v>
      </c>
      <c r="AP502" s="19">
        <f t="shared" si="4"/>
        <v>-1.5662494791142019E-3</v>
      </c>
      <c r="AQ502" s="19">
        <f t="shared" si="4"/>
        <v>-4.7797681770284428E-2</v>
      </c>
      <c r="AR502" s="19">
        <f t="shared" si="4"/>
        <v>9.9689474802875846E-3</v>
      </c>
      <c r="AS502" s="19">
        <f t="shared" si="4"/>
        <v>2.5515333294560454E-2</v>
      </c>
      <c r="AT502" s="19">
        <f t="shared" si="4"/>
        <v>3.5672780167935271E-2</v>
      </c>
      <c r="AU502" s="19">
        <f t="shared" si="4"/>
        <v>-7.5498355939169787E-2</v>
      </c>
      <c r="AV502" s="19">
        <f t="shared" si="4"/>
        <v>9.5650799723932876E-5</v>
      </c>
      <c r="AW502" s="19">
        <f t="shared" si="4"/>
        <v>-1.4637850054737615E-2</v>
      </c>
      <c r="AX502" s="19">
        <f t="shared" si="4"/>
        <v>7.7800367506448628E-2</v>
      </c>
      <c r="AY502" s="19" t="e">
        <f t="shared" si="4"/>
        <v>#DIV/0!</v>
      </c>
      <c r="AZ502" s="19">
        <f t="shared" si="4"/>
        <v>-7.7219256503780365E-2</v>
      </c>
      <c r="BA502" s="19">
        <f t="shared" si="4"/>
        <v>-7.7565917165868248E-2</v>
      </c>
      <c r="BB502" s="19">
        <f t="shared" si="4"/>
        <v>-1.038449880736402E-2</v>
      </c>
      <c r="BC502" s="19">
        <f t="shared" si="4"/>
        <v>-9.5498325148194851E-3</v>
      </c>
      <c r="BD502" s="19">
        <f t="shared" si="4"/>
        <v>1.5796885523603466E-2</v>
      </c>
      <c r="BE502" s="19" t="e">
        <f t="shared" ref="BE502" si="5">(BE395-BE392)/BE392</f>
        <v>#DIV/0!</v>
      </c>
    </row>
    <row r="503" spans="1:57">
      <c r="A503" t="s">
        <v>52</v>
      </c>
      <c r="B503" s="15" t="e">
        <f>(B482-B478)/B478</f>
        <v>#DIV/0!</v>
      </c>
      <c r="C503" s="15">
        <f>(C399-C395)/C395</f>
        <v>5.861788101887111E-2</v>
      </c>
      <c r="D503" s="15">
        <f t="shared" ref="D503:BD503" si="6">(D399-D395)/D395</f>
        <v>1.9738326340506821E-2</v>
      </c>
      <c r="E503" s="15">
        <f t="shared" si="6"/>
        <v>-2.6516602339344121E-4</v>
      </c>
      <c r="F503" s="15" t="e">
        <f t="shared" si="6"/>
        <v>#DIV/0!</v>
      </c>
      <c r="G503" s="15">
        <f t="shared" si="6"/>
        <v>-3.0876130852051892E-2</v>
      </c>
      <c r="H503" s="15">
        <f t="shared" si="6"/>
        <v>0.19200013539013513</v>
      </c>
      <c r="I503" s="15" t="e">
        <f t="shared" si="6"/>
        <v>#DIV/0!</v>
      </c>
      <c r="J503" s="15" t="e">
        <f t="shared" si="6"/>
        <v>#DIV/0!</v>
      </c>
      <c r="K503" s="15" t="e">
        <f t="shared" si="6"/>
        <v>#DIV/0!</v>
      </c>
      <c r="L503" s="15">
        <f t="shared" si="6"/>
        <v>7.8985823703305577E-2</v>
      </c>
      <c r="M503" s="15">
        <f t="shared" si="6"/>
        <v>-8.254246509097514E-2</v>
      </c>
      <c r="N503" s="15">
        <f t="shared" si="6"/>
        <v>3.1310371826622801E-2</v>
      </c>
      <c r="O503" s="15" t="e">
        <f t="shared" si="6"/>
        <v>#DIV/0!</v>
      </c>
      <c r="P503" s="15" t="e">
        <f t="shared" si="6"/>
        <v>#DIV/0!</v>
      </c>
      <c r="Q503" s="15" t="e">
        <f t="shared" si="6"/>
        <v>#DIV/0!</v>
      </c>
      <c r="R503" s="15">
        <f t="shared" si="6"/>
        <v>1.8869908937132366E-2</v>
      </c>
      <c r="S503" s="15">
        <f t="shared" si="6"/>
        <v>1.5087089198930148E-2</v>
      </c>
      <c r="T503" s="15">
        <f t="shared" si="6"/>
        <v>-7.3845541401273862E-2</v>
      </c>
      <c r="U503" s="15">
        <f t="shared" si="6"/>
        <v>4.5393640219642028E-3</v>
      </c>
      <c r="V503" s="15">
        <f t="shared" si="6"/>
        <v>-6.1614691449341008E-2</v>
      </c>
      <c r="W503" s="15">
        <f t="shared" si="6"/>
        <v>2.9576111553583407E-2</v>
      </c>
      <c r="X503" s="15">
        <f t="shared" si="6"/>
        <v>3.153311545939684E-2</v>
      </c>
      <c r="Y503" s="15">
        <f t="shared" si="6"/>
        <v>0.12266035789762192</v>
      </c>
      <c r="Z503" s="15">
        <f t="shared" si="6"/>
        <v>0.12265390565299224</v>
      </c>
      <c r="AA503" s="15">
        <f t="shared" si="6"/>
        <v>1.7751914673081966E-2</v>
      </c>
      <c r="AB503" s="15">
        <f t="shared" si="6"/>
        <v>3.3690734223951024E-2</v>
      </c>
      <c r="AC503" s="15">
        <f t="shared" si="6"/>
        <v>1.6908267270668201E-2</v>
      </c>
      <c r="AD503" s="15">
        <f t="shared" si="6"/>
        <v>6.2088245068715353E-2</v>
      </c>
      <c r="AE503" s="15" t="e">
        <f t="shared" si="6"/>
        <v>#DIV/0!</v>
      </c>
      <c r="AF503" s="15" t="e">
        <f t="shared" si="6"/>
        <v>#DIV/0!</v>
      </c>
      <c r="AG503" s="15">
        <f t="shared" si="6"/>
        <v>-1.3625479646938278E-3</v>
      </c>
      <c r="AH503" s="15">
        <f t="shared" si="6"/>
        <v>2.6817357542193752E-2</v>
      </c>
      <c r="AI503" s="15">
        <f t="shared" si="6"/>
        <v>5.8443985618169589E-2</v>
      </c>
      <c r="AJ503" s="15">
        <f t="shared" si="6"/>
        <v>-6.1262494955709478E-2</v>
      </c>
      <c r="AK503" s="15">
        <f t="shared" si="6"/>
        <v>1.4084122515143793E-2</v>
      </c>
      <c r="AL503" s="15" t="e">
        <f t="shared" si="6"/>
        <v>#DIV/0!</v>
      </c>
      <c r="AM503" s="15" t="e">
        <f t="shared" si="6"/>
        <v>#DIV/0!</v>
      </c>
      <c r="AN503" s="15">
        <f t="shared" si="6"/>
        <v>2.0339883165161898E-2</v>
      </c>
      <c r="AO503" s="15">
        <f t="shared" si="6"/>
        <v>-2.830055186076131E-2</v>
      </c>
      <c r="AP503" s="15">
        <f t="shared" si="6"/>
        <v>1.2384532447475007E-2</v>
      </c>
      <c r="AQ503" s="15">
        <f t="shared" si="6"/>
        <v>-6.2847423877872649E-2</v>
      </c>
      <c r="AR503" s="15">
        <f t="shared" si="6"/>
        <v>5.3376588267099095E-2</v>
      </c>
      <c r="AS503" s="15">
        <f t="shared" si="6"/>
        <v>2.657296128415184E-2</v>
      </c>
      <c r="AT503" s="15">
        <f t="shared" si="6"/>
        <v>3.9400610203529876E-2</v>
      </c>
      <c r="AU503" s="15">
        <f t="shared" si="6"/>
        <v>-7.9855459062358941E-2</v>
      </c>
      <c r="AV503" s="15">
        <f t="shared" si="6"/>
        <v>1.4118659149085168E-2</v>
      </c>
      <c r="AW503" s="15">
        <f t="shared" si="6"/>
        <v>-4.7923704234483271E-2</v>
      </c>
      <c r="AX503" s="15">
        <f t="shared" si="6"/>
        <v>0.12711143187935106</v>
      </c>
      <c r="AY503" s="15" t="e">
        <f t="shared" si="6"/>
        <v>#DIV/0!</v>
      </c>
      <c r="AZ503" s="15">
        <f t="shared" si="6"/>
        <v>-8.1147777563979284E-2</v>
      </c>
      <c r="BA503" s="15">
        <f t="shared" si="6"/>
        <v>-6.3339128043450599E-2</v>
      </c>
      <c r="BB503" s="15">
        <f t="shared" si="6"/>
        <v>4.8305084745762636E-3</v>
      </c>
      <c r="BC503" s="15">
        <f t="shared" si="6"/>
        <v>-9.2350441320692353E-3</v>
      </c>
      <c r="BD503" s="15">
        <f t="shared" si="6"/>
        <v>2.4331764040029801E-2</v>
      </c>
      <c r="BE503" s="15" t="e">
        <f t="shared" ref="BE503" si="7">(BE395-BE391)/BE391</f>
        <v>#DIV/0!</v>
      </c>
    </row>
    <row r="504" spans="1:57">
      <c r="A504" t="s">
        <v>129</v>
      </c>
      <c r="B504" s="15" t="e">
        <f>(B482-B473)/B473</f>
        <v>#DIV/0!</v>
      </c>
      <c r="C504" s="15">
        <f>(C399-C390)/C390</f>
        <v>0.11303578975465435</v>
      </c>
      <c r="D504" s="15">
        <f t="shared" ref="D504:BD504" si="8">(D399-D390)/D390</f>
        <v>6.5056111942244185E-2</v>
      </c>
      <c r="E504" s="15">
        <f t="shared" si="8"/>
        <v>3.0365601846228617E-2</v>
      </c>
      <c r="F504" s="15" t="e">
        <f t="shared" si="8"/>
        <v>#DIV/0!</v>
      </c>
      <c r="G504" s="15">
        <f t="shared" si="8"/>
        <v>-5.4203034779105659E-2</v>
      </c>
      <c r="H504" s="15">
        <f t="shared" si="8"/>
        <v>0.18726822196750048</v>
      </c>
      <c r="I504" s="15" t="e">
        <f t="shared" si="8"/>
        <v>#DIV/0!</v>
      </c>
      <c r="J504" s="15" t="e">
        <f t="shared" si="8"/>
        <v>#DIV/0!</v>
      </c>
      <c r="K504" s="15" t="e">
        <f t="shared" si="8"/>
        <v>#DIV/0!</v>
      </c>
      <c r="L504" s="15">
        <f t="shared" si="8"/>
        <v>0.2924081320604775</v>
      </c>
      <c r="M504" s="15">
        <f t="shared" si="8"/>
        <v>-0.14145610232949507</v>
      </c>
      <c r="N504" s="15">
        <f t="shared" si="8"/>
        <v>8.8651717694408563E-2</v>
      </c>
      <c r="O504" s="15" t="e">
        <f t="shared" si="8"/>
        <v>#DIV/0!</v>
      </c>
      <c r="P504" s="15" t="e">
        <f t="shared" si="8"/>
        <v>#DIV/0!</v>
      </c>
      <c r="Q504" s="15" t="e">
        <f t="shared" si="8"/>
        <v>#DIV/0!</v>
      </c>
      <c r="R504" s="15">
        <f t="shared" si="8"/>
        <v>1.1995960721498744E-2</v>
      </c>
      <c r="S504" s="15">
        <f t="shared" si="8"/>
        <v>5.8779302874193452E-2</v>
      </c>
      <c r="T504" s="15">
        <f t="shared" si="8"/>
        <v>-0.11220926904657422</v>
      </c>
      <c r="U504" s="15">
        <f t="shared" si="8"/>
        <v>0.14823700569590473</v>
      </c>
      <c r="V504" s="15">
        <f t="shared" si="8"/>
        <v>-9.8104265402843616E-2</v>
      </c>
      <c r="W504" s="15">
        <f t="shared" si="8"/>
        <v>0.14481609817468738</v>
      </c>
      <c r="X504" s="15">
        <f t="shared" si="8"/>
        <v>9.8674862033640592E-2</v>
      </c>
      <c r="Y504" s="15">
        <f t="shared" si="8"/>
        <v>0.32890220787869473</v>
      </c>
      <c r="Z504" s="15">
        <f t="shared" si="8"/>
        <v>0.32890796070666239</v>
      </c>
      <c r="AA504" s="15">
        <f t="shared" si="8"/>
        <v>0.13525173694746881</v>
      </c>
      <c r="AB504" s="15">
        <f t="shared" si="8"/>
        <v>0.15306809589365375</v>
      </c>
      <c r="AC504" s="15">
        <f t="shared" si="8"/>
        <v>6.3375236110206443E-2</v>
      </c>
      <c r="AD504" s="15">
        <f t="shared" si="8"/>
        <v>7.9144693064783722E-2</v>
      </c>
      <c r="AE504" s="15" t="e">
        <f t="shared" si="8"/>
        <v>#DIV/0!</v>
      </c>
      <c r="AF504" s="15" t="e">
        <f t="shared" si="8"/>
        <v>#DIV/0!</v>
      </c>
      <c r="AG504" s="15">
        <f t="shared" si="8"/>
        <v>-1.122915612693302E-2</v>
      </c>
      <c r="AH504" s="15">
        <f t="shared" si="8"/>
        <v>2.7165158745690827E-2</v>
      </c>
      <c r="AI504" s="15">
        <f t="shared" si="8"/>
        <v>0.10978295354870023</v>
      </c>
      <c r="AJ504" s="15">
        <f t="shared" si="8"/>
        <v>-0.11927593440832182</v>
      </c>
      <c r="AK504" s="15">
        <f t="shared" si="8"/>
        <v>2.6049004171155507E-2</v>
      </c>
      <c r="AL504" s="15" t="e">
        <f t="shared" si="8"/>
        <v>#DIV/0!</v>
      </c>
      <c r="AM504" s="15" t="e">
        <f t="shared" si="8"/>
        <v>#DIV/0!</v>
      </c>
      <c r="AN504" s="15">
        <f t="shared" si="8"/>
        <v>3.3679453381395469E-2</v>
      </c>
      <c r="AO504" s="15">
        <f t="shared" si="8"/>
        <v>-4.7242455775234164E-2</v>
      </c>
      <c r="AP504" s="15">
        <f t="shared" si="8"/>
        <v>7.4456076327142906E-2</v>
      </c>
      <c r="AQ504" s="15">
        <f t="shared" si="8"/>
        <v>-9.1928611624728637E-2</v>
      </c>
      <c r="AR504" s="15">
        <f t="shared" si="8"/>
        <v>0.19685706913710696</v>
      </c>
      <c r="AS504" s="15">
        <f t="shared" si="8"/>
        <v>5.2017012281912987E-2</v>
      </c>
      <c r="AT504" s="15">
        <f t="shared" si="8"/>
        <v>0.13119646264679433</v>
      </c>
      <c r="AU504" s="15">
        <f t="shared" si="8"/>
        <v>-0.13166529942575883</v>
      </c>
      <c r="AV504" s="15">
        <f t="shared" si="8"/>
        <v>-5.8907178821525014E-3</v>
      </c>
      <c r="AW504" s="15">
        <f t="shared" si="8"/>
        <v>-0.15248788834496829</v>
      </c>
      <c r="AX504" s="15">
        <f t="shared" si="8"/>
        <v>0.21892236444999494</v>
      </c>
      <c r="AY504" s="15" t="e">
        <f t="shared" si="8"/>
        <v>#DIV/0!</v>
      </c>
      <c r="AZ504" s="15">
        <f t="shared" si="8"/>
        <v>-0.13781134051331129</v>
      </c>
      <c r="BA504" s="15">
        <f t="shared" si="8"/>
        <v>-9.6918007365768954E-3</v>
      </c>
      <c r="BB504" s="15">
        <f t="shared" si="8"/>
        <v>6.1984406082947641E-2</v>
      </c>
      <c r="BC504" s="15">
        <f t="shared" si="8"/>
        <v>8.0099778270510385E-3</v>
      </c>
      <c r="BD504" s="15">
        <f t="shared" si="8"/>
        <v>3.7771452996799321E-2</v>
      </c>
      <c r="BE504" s="15" t="e">
        <f t="shared" ref="BE504" si="9">(BE395-BE386)/BE386</f>
        <v>#DIV/0!</v>
      </c>
    </row>
    <row r="505" spans="1:57">
      <c r="A505" t="s">
        <v>53</v>
      </c>
      <c r="B505" s="15" t="e">
        <f>(B482-B469)/B469</f>
        <v>#DIV/0!</v>
      </c>
      <c r="C505" s="15">
        <f>(C399-C386)/C386</f>
        <v>0.18366272812215395</v>
      </c>
      <c r="D505" s="15">
        <f t="shared" ref="D505:BD505" si="10">(D399-D386)/D386</f>
        <v>9.6039612484073514E-2</v>
      </c>
      <c r="E505" s="15">
        <f t="shared" si="10"/>
        <v>8.3743213030980659E-2</v>
      </c>
      <c r="F505" s="15" t="e">
        <f t="shared" si="10"/>
        <v>#DIV/0!</v>
      </c>
      <c r="G505" s="15">
        <f t="shared" si="10"/>
        <v>-1.5962054319883786E-2</v>
      </c>
      <c r="H505" s="15">
        <f t="shared" si="10"/>
        <v>0.19154641268122682</v>
      </c>
      <c r="I505" s="15" t="e">
        <f t="shared" si="10"/>
        <v>#DIV/0!</v>
      </c>
      <c r="J505" s="15" t="e">
        <f t="shared" si="10"/>
        <v>#DIV/0!</v>
      </c>
      <c r="K505" s="15" t="e">
        <f t="shared" si="10"/>
        <v>#DIV/0!</v>
      </c>
      <c r="L505" s="15">
        <f t="shared" si="10"/>
        <v>0.44384569999719026</v>
      </c>
      <c r="M505" s="15">
        <f t="shared" si="10"/>
        <v>-0.12366930099960304</v>
      </c>
      <c r="N505" s="15">
        <f t="shared" si="10"/>
        <v>0.1493664162683056</v>
      </c>
      <c r="O505" s="15" t="e">
        <f t="shared" si="10"/>
        <v>#DIV/0!</v>
      </c>
      <c r="P505" s="15" t="e">
        <f t="shared" si="10"/>
        <v>#DIV/0!</v>
      </c>
      <c r="Q505" s="15" t="e">
        <f t="shared" si="10"/>
        <v>#DIV/0!</v>
      </c>
      <c r="R505" s="15">
        <f t="shared" si="10"/>
        <v>3.6928017126036904E-2</v>
      </c>
      <c r="S505" s="15">
        <f t="shared" si="10"/>
        <v>9.105290295411049E-2</v>
      </c>
      <c r="T505" s="15">
        <f t="shared" si="10"/>
        <v>-0.10828188232438252</v>
      </c>
      <c r="U505" s="15">
        <f t="shared" si="10"/>
        <v>0.15205426252778753</v>
      </c>
      <c r="V505" s="15">
        <f t="shared" si="10"/>
        <v>-8.2741838932122572E-2</v>
      </c>
      <c r="W505" s="15">
        <f t="shared" si="10"/>
        <v>0.25814724125412292</v>
      </c>
      <c r="X505" s="15">
        <f t="shared" si="10"/>
        <v>0.16461357028595458</v>
      </c>
      <c r="Y505" s="15">
        <f t="shared" si="10"/>
        <v>0.33116388858005419</v>
      </c>
      <c r="Z505" s="15">
        <f t="shared" si="10"/>
        <v>0.3311620146301576</v>
      </c>
      <c r="AA505" s="15">
        <f t="shared" si="10"/>
        <v>0.21895007873834735</v>
      </c>
      <c r="AB505" s="15">
        <f t="shared" si="10"/>
        <v>0.26190769633204974</v>
      </c>
      <c r="AC505" s="15">
        <f t="shared" si="10"/>
        <v>0.12871212454511746</v>
      </c>
      <c r="AD505" s="15">
        <f t="shared" si="10"/>
        <v>0.12050901291094332</v>
      </c>
      <c r="AE505" s="15" t="e">
        <f t="shared" si="10"/>
        <v>#DIV/0!</v>
      </c>
      <c r="AF505" s="15" t="e">
        <f t="shared" si="10"/>
        <v>#DIV/0!</v>
      </c>
      <c r="AG505" s="15">
        <f t="shared" si="10"/>
        <v>2.1207495364062079E-2</v>
      </c>
      <c r="AH505" s="15">
        <f t="shared" si="10"/>
        <v>7.062552467029129E-2</v>
      </c>
      <c r="AI505" s="15">
        <f t="shared" si="10"/>
        <v>0.14622346013357884</v>
      </c>
      <c r="AJ505" s="15">
        <f t="shared" si="10"/>
        <v>-0.10136093625321395</v>
      </c>
      <c r="AK505" s="15">
        <f t="shared" si="10"/>
        <v>4.2858145574506901E-2</v>
      </c>
      <c r="AL505" s="15" t="e">
        <f t="shared" si="10"/>
        <v>#DIV/0!</v>
      </c>
      <c r="AM505" s="15" t="e">
        <f t="shared" si="10"/>
        <v>#DIV/0!</v>
      </c>
      <c r="AN505" s="15">
        <f t="shared" si="10"/>
        <v>3.6989727074824959E-2</v>
      </c>
      <c r="AO505" s="15">
        <f t="shared" si="10"/>
        <v>-1.3964174175252158E-2</v>
      </c>
      <c r="AP505" s="15">
        <f t="shared" si="10"/>
        <v>0.11685472723181282</v>
      </c>
      <c r="AQ505" s="15">
        <f t="shared" si="10"/>
        <v>-6.8975465010852485E-2</v>
      </c>
      <c r="AR505" s="15">
        <f t="shared" si="10"/>
        <v>0.31619589377039425</v>
      </c>
      <c r="AS505" s="15">
        <f t="shared" si="10"/>
        <v>5.5606869184455385E-2</v>
      </c>
      <c r="AT505" s="15">
        <f t="shared" si="10"/>
        <v>0.19505870233210784</v>
      </c>
      <c r="AU505" s="15">
        <f t="shared" si="10"/>
        <v>-0.11769320661278598</v>
      </c>
      <c r="AV505" s="15">
        <f t="shared" si="10"/>
        <v>5.1802639117903053E-2</v>
      </c>
      <c r="AW505" s="15">
        <f t="shared" si="10"/>
        <v>-4.8010326513437007E-2</v>
      </c>
      <c r="AX505" s="15">
        <f t="shared" si="10"/>
        <v>0.34029938278227162</v>
      </c>
      <c r="AY505" s="15" t="e">
        <f t="shared" si="10"/>
        <v>#DIV/0!</v>
      </c>
      <c r="AZ505" s="15">
        <f t="shared" si="10"/>
        <v>-0.11926575893248251</v>
      </c>
      <c r="BA505" s="15">
        <f t="shared" si="10"/>
        <v>4.8641476654216975E-2</v>
      </c>
      <c r="BB505" s="15">
        <f t="shared" si="10"/>
        <v>0.12572268055146094</v>
      </c>
      <c r="BC505" s="15">
        <f t="shared" si="10"/>
        <v>3.633453528589329E-3</v>
      </c>
      <c r="BD505" s="15">
        <f t="shared" si="10"/>
        <v>-5.1918070386711892E-3</v>
      </c>
      <c r="BE505" s="15" t="e">
        <f t="shared" ref="BE505" si="11">(BE395-BE382)/BE382</f>
        <v>#DIV/0!</v>
      </c>
    </row>
    <row r="506" spans="1:57">
      <c r="A506" t="s">
        <v>54</v>
      </c>
      <c r="B506" s="15" t="e">
        <f>(B482-B456)/B456</f>
        <v>#DIV/0!</v>
      </c>
      <c r="C506" s="15">
        <f>(C399-C373)/C373</f>
        <v>0.15458273966439198</v>
      </c>
      <c r="D506" s="15">
        <f t="shared" ref="D506:BD506" si="12">(D399-D373)/D373</f>
        <v>0.24352425230997632</v>
      </c>
      <c r="E506" s="15">
        <f t="shared" si="12"/>
        <v>9.2017925674425405E-2</v>
      </c>
      <c r="F506" s="15" t="e">
        <f t="shared" si="12"/>
        <v>#DIV/0!</v>
      </c>
      <c r="G506" s="15">
        <f t="shared" si="12"/>
        <v>-0.12938653415903381</v>
      </c>
      <c r="H506" s="15">
        <f t="shared" si="12"/>
        <v>0.18590887661637942</v>
      </c>
      <c r="I506" s="15" t="e">
        <f t="shared" si="12"/>
        <v>#DIV/0!</v>
      </c>
      <c r="J506" s="15" t="e">
        <f t="shared" si="12"/>
        <v>#DIV/0!</v>
      </c>
      <c r="K506" s="15" t="e">
        <f t="shared" si="12"/>
        <v>#DIV/0!</v>
      </c>
      <c r="L506" s="15">
        <f t="shared" si="12"/>
        <v>0.46715999474696945</v>
      </c>
      <c r="M506" s="15">
        <f t="shared" si="12"/>
        <v>-7.1843814139437454E-2</v>
      </c>
      <c r="N506" s="15">
        <f t="shared" si="12"/>
        <v>0.1672012405967965</v>
      </c>
      <c r="O506" s="15" t="e">
        <f t="shared" si="12"/>
        <v>#DIV/0!</v>
      </c>
      <c r="P506" s="15" t="e">
        <f t="shared" si="12"/>
        <v>#DIV/0!</v>
      </c>
      <c r="Q506" s="15">
        <f t="shared" si="12"/>
        <v>-1</v>
      </c>
      <c r="R506" s="15">
        <f t="shared" si="12"/>
        <v>0.13263248146379961</v>
      </c>
      <c r="S506" s="15">
        <f t="shared" si="12"/>
        <v>0.26043221109390668</v>
      </c>
      <c r="T506" s="15">
        <f t="shared" si="12"/>
        <v>1.5533799466899577E-3</v>
      </c>
      <c r="U506" s="15">
        <f t="shared" si="12"/>
        <v>0.15688014792402083</v>
      </c>
      <c r="V506" s="15">
        <f t="shared" si="12"/>
        <v>-0.1541555248084078</v>
      </c>
      <c r="W506" s="15">
        <f t="shared" si="12"/>
        <v>0.18824456327465577</v>
      </c>
      <c r="X506" s="15">
        <f t="shared" si="12"/>
        <v>6.5153780435711142E-2</v>
      </c>
      <c r="Y506" s="15" t="e">
        <f t="shared" si="12"/>
        <v>#DIV/0!</v>
      </c>
      <c r="Z506" s="15" t="e">
        <f t="shared" si="12"/>
        <v>#DIV/0!</v>
      </c>
      <c r="AA506" s="15">
        <f t="shared" si="12"/>
        <v>0.17169459002567056</v>
      </c>
      <c r="AB506" s="15" t="e">
        <f t="shared" si="12"/>
        <v>#DIV/0!</v>
      </c>
      <c r="AC506" s="15">
        <f t="shared" si="12"/>
        <v>0.12312147042820781</v>
      </c>
      <c r="AD506" s="15">
        <f t="shared" si="12"/>
        <v>8.4292143577052364E-2</v>
      </c>
      <c r="AE506" s="15" t="e">
        <f t="shared" si="12"/>
        <v>#DIV/0!</v>
      </c>
      <c r="AF506" s="15" t="e">
        <f t="shared" si="12"/>
        <v>#DIV/0!</v>
      </c>
      <c r="AG506" s="15">
        <f t="shared" si="12"/>
        <v>1.7673003491719907E-2</v>
      </c>
      <c r="AH506" s="15">
        <f t="shared" si="12"/>
        <v>4.6006086110025296E-2</v>
      </c>
      <c r="AI506" s="15">
        <f t="shared" si="12"/>
        <v>0.15110483067006081</v>
      </c>
      <c r="AJ506" s="15">
        <f t="shared" si="12"/>
        <v>-4.0434812009737683E-2</v>
      </c>
      <c r="AK506" s="15">
        <f t="shared" si="12"/>
        <v>9.6048865413555992E-2</v>
      </c>
      <c r="AL506" s="15" t="e">
        <f t="shared" si="12"/>
        <v>#DIV/0!</v>
      </c>
      <c r="AM506" s="15">
        <f t="shared" si="12"/>
        <v>-1</v>
      </c>
      <c r="AN506" s="15">
        <f t="shared" si="12"/>
        <v>0.1100647099607117</v>
      </c>
      <c r="AO506" s="15">
        <f t="shared" si="12"/>
        <v>-3.649788659522598E-2</v>
      </c>
      <c r="AP506" s="15">
        <f t="shared" si="12"/>
        <v>1.6085634066448338E-2</v>
      </c>
      <c r="AQ506" s="15">
        <f t="shared" si="12"/>
        <v>-0.10871909521304574</v>
      </c>
      <c r="AR506" s="15">
        <f t="shared" si="12"/>
        <v>0.26883499192413896</v>
      </c>
      <c r="AS506" s="15">
        <f t="shared" si="12"/>
        <v>0.16218633774304414</v>
      </c>
      <c r="AT506" s="15">
        <f t="shared" si="12"/>
        <v>0.32274997051075377</v>
      </c>
      <c r="AU506" s="15">
        <f t="shared" si="12"/>
        <v>-5.070603337612329E-2</v>
      </c>
      <c r="AV506" s="15">
        <f t="shared" si="12"/>
        <v>1.8866405680682086E-2</v>
      </c>
      <c r="AW506" s="15">
        <f t="shared" si="12"/>
        <v>-5.6466066255621956E-2</v>
      </c>
      <c r="AX506" s="15">
        <f t="shared" si="12"/>
        <v>0.44294128970163621</v>
      </c>
      <c r="AY506" s="15" t="e">
        <f t="shared" si="12"/>
        <v>#DIV/0!</v>
      </c>
      <c r="AZ506" s="15">
        <f t="shared" si="12"/>
        <v>-5.4719203436467044E-2</v>
      </c>
      <c r="BA506" s="15">
        <f t="shared" si="12"/>
        <v>1.9549708144167403E-2</v>
      </c>
      <c r="BB506" s="15">
        <f t="shared" si="12"/>
        <v>9.4435592001710172E-2</v>
      </c>
      <c r="BC506" s="15" t="e">
        <f t="shared" si="12"/>
        <v>#DIV/0!</v>
      </c>
      <c r="BD506" s="15">
        <f t="shared" si="12"/>
        <v>9.393424877327762E-2</v>
      </c>
      <c r="BE506" s="15" t="e">
        <f t="shared" ref="BE506" si="13">(BE395-BE369)/BE369</f>
        <v>#DIV/0!</v>
      </c>
    </row>
    <row r="507" spans="1:57">
      <c r="A507" t="s">
        <v>55</v>
      </c>
      <c r="B507" s="15" t="e">
        <f>(B482-B431)/B431</f>
        <v>#DIV/0!</v>
      </c>
      <c r="C507" s="15">
        <f>(C399-C348)/C348</f>
        <v>0.23045097991000071</v>
      </c>
      <c r="D507" s="15">
        <f t="shared" ref="D507:BD507" si="14">(D399-D348)/D348</f>
        <v>0.39626790375293364</v>
      </c>
      <c r="E507" s="15">
        <f t="shared" si="14"/>
        <v>0.17885959960046904</v>
      </c>
      <c r="F507" s="15" t="e">
        <f t="shared" si="14"/>
        <v>#DIV/0!</v>
      </c>
      <c r="G507" s="15">
        <f t="shared" si="14"/>
        <v>-0.1899446802148386</v>
      </c>
      <c r="H507" s="15" t="e">
        <f t="shared" si="14"/>
        <v>#DIV/0!</v>
      </c>
      <c r="I507" s="15" t="e">
        <f t="shared" si="14"/>
        <v>#DIV/0!</v>
      </c>
      <c r="J507" s="15" t="e">
        <f t="shared" si="14"/>
        <v>#DIV/0!</v>
      </c>
      <c r="K507" s="15" t="e">
        <f t="shared" si="14"/>
        <v>#DIV/0!</v>
      </c>
      <c r="L507" s="15">
        <f t="shared" si="14"/>
        <v>0.60939251780356885</v>
      </c>
      <c r="M507" s="15">
        <f t="shared" si="14"/>
        <v>0.18396739262921299</v>
      </c>
      <c r="N507" s="15">
        <f t="shared" si="14"/>
        <v>0.37073694926757533</v>
      </c>
      <c r="O507" s="15" t="e">
        <f t="shared" si="14"/>
        <v>#DIV/0!</v>
      </c>
      <c r="P507" s="15" t="e">
        <f t="shared" si="14"/>
        <v>#DIV/0!</v>
      </c>
      <c r="Q507" s="15">
        <f t="shared" si="14"/>
        <v>-1</v>
      </c>
      <c r="R507" s="15">
        <f t="shared" si="14"/>
        <v>0.24339529809399543</v>
      </c>
      <c r="S507" s="15">
        <f t="shared" si="14"/>
        <v>0.4083820900515388</v>
      </c>
      <c r="T507" s="15">
        <f t="shared" si="14"/>
        <v>0.25356406790924468</v>
      </c>
      <c r="U507" s="15">
        <f t="shared" si="14"/>
        <v>0.2515102251608422</v>
      </c>
      <c r="V507" s="15">
        <f t="shared" si="14"/>
        <v>-0.15475542310227239</v>
      </c>
      <c r="W507" s="15">
        <f t="shared" si="14"/>
        <v>0.19531651329018246</v>
      </c>
      <c r="X507" s="15">
        <f t="shared" si="14"/>
        <v>5.7180690983499359E-4</v>
      </c>
      <c r="Y507" s="15" t="e">
        <f t="shared" si="14"/>
        <v>#DIV/0!</v>
      </c>
      <c r="Z507" s="15" t="e">
        <f t="shared" si="14"/>
        <v>#DIV/0!</v>
      </c>
      <c r="AA507" s="15">
        <f t="shared" si="14"/>
        <v>0.23913297499415759</v>
      </c>
      <c r="AB507" s="15" t="e">
        <f t="shared" si="14"/>
        <v>#DIV/0!</v>
      </c>
      <c r="AC507" s="15">
        <f t="shared" si="14"/>
        <v>0.21436251141089357</v>
      </c>
      <c r="AD507" s="15">
        <f t="shared" si="14"/>
        <v>0.10825751703316887</v>
      </c>
      <c r="AE507" s="15" t="e">
        <f t="shared" si="14"/>
        <v>#DIV/0!</v>
      </c>
      <c r="AF507" s="15" t="e">
        <f t="shared" si="14"/>
        <v>#DIV/0!</v>
      </c>
      <c r="AG507" s="15">
        <f t="shared" si="14"/>
        <v>0.11675405574975369</v>
      </c>
      <c r="AH507" s="15">
        <f t="shared" si="14"/>
        <v>0.1798939969046405</v>
      </c>
      <c r="AI507" s="15">
        <f t="shared" si="14"/>
        <v>0.2335449208621154</v>
      </c>
      <c r="AJ507" s="15">
        <f t="shared" si="14"/>
        <v>0.21955841655637096</v>
      </c>
      <c r="AK507" s="15">
        <f t="shared" si="14"/>
        <v>0.14844459560258624</v>
      </c>
      <c r="AL507" s="15" t="e">
        <f t="shared" si="14"/>
        <v>#DIV/0!</v>
      </c>
      <c r="AM507" s="15">
        <f t="shared" si="14"/>
        <v>-1</v>
      </c>
      <c r="AN507" s="15">
        <f t="shared" si="14"/>
        <v>0.21014066764644126</v>
      </c>
      <c r="AO507" s="15">
        <f t="shared" si="14"/>
        <v>5.9088893601434281E-2</v>
      </c>
      <c r="AP507" s="15">
        <f t="shared" si="14"/>
        <v>-2.5579177651876291E-2</v>
      </c>
      <c r="AQ507" s="15" t="e">
        <f t="shared" si="14"/>
        <v>#DIV/0!</v>
      </c>
      <c r="AR507" s="15" t="e">
        <f t="shared" si="14"/>
        <v>#DIV/0!</v>
      </c>
      <c r="AS507" s="15" t="e">
        <f t="shared" si="14"/>
        <v>#DIV/0!</v>
      </c>
      <c r="AT507" s="15" t="e">
        <f t="shared" si="14"/>
        <v>#DIV/0!</v>
      </c>
      <c r="AU507" s="15">
        <f t="shared" si="14"/>
        <v>0.19856128684898491</v>
      </c>
      <c r="AV507" s="15" t="e">
        <f t="shared" si="14"/>
        <v>#DIV/0!</v>
      </c>
      <c r="AW507" s="15" t="e">
        <f t="shared" si="14"/>
        <v>#DIV/0!</v>
      </c>
      <c r="AX507" s="15" t="e">
        <f t="shared" si="14"/>
        <v>#DIV/0!</v>
      </c>
      <c r="AY507" s="15" t="e">
        <f t="shared" si="14"/>
        <v>#DIV/0!</v>
      </c>
      <c r="AZ507" s="15">
        <f t="shared" si="14"/>
        <v>0.21498222157200739</v>
      </c>
      <c r="BA507" s="15">
        <f t="shared" si="14"/>
        <v>5.4846844721046381E-2</v>
      </c>
      <c r="BB507" s="15">
        <f t="shared" si="14"/>
        <v>0.18546290741851648</v>
      </c>
      <c r="BC507" s="15" t="e">
        <f t="shared" si="14"/>
        <v>#DIV/0!</v>
      </c>
      <c r="BD507" s="15">
        <f t="shared" si="14"/>
        <v>0.18486159632907409</v>
      </c>
      <c r="BE507" s="15" t="e">
        <f t="shared" ref="BE507" si="15">(BE395-BE344)/BE344</f>
        <v>#DIV/0!</v>
      </c>
    </row>
  </sheetData>
  <mergeCells count="1">
    <mergeCell ref="P2:S2"/>
  </mergeCells>
  <conditionalFormatting sqref="B500:BE507">
    <cfRule type="cellIs" dxfId="4" priority="1" operator="greaterThan">
      <formula>0</formula>
    </cfRule>
    <cfRule type="cellIs" dxfId="3" priority="2" operator="greaterThan">
      <formula>-0.01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AB8B4-1021-4CC0-84AD-522E7CC5F1BE}">
  <sheetPr filterMode="1"/>
  <dimension ref="A1:AK188"/>
  <sheetViews>
    <sheetView zoomScale="83" workbookViewId="0">
      <pane xSplit="6" ySplit="1" topLeftCell="G169" activePane="bottomRight" state="frozen"/>
      <selection pane="topRight" activeCell="G1" sqref="G1"/>
      <selection pane="bottomLeft" activeCell="A2" sqref="A2"/>
      <selection pane="bottomRight" activeCell="H189" sqref="H189"/>
    </sheetView>
  </sheetViews>
  <sheetFormatPr defaultRowHeight="14.5"/>
  <cols>
    <col min="1" max="1" width="11.453125" customWidth="1"/>
    <col min="2" max="2" width="17.7265625" customWidth="1"/>
    <col min="3" max="3" width="10.81640625" customWidth="1"/>
    <col min="4" max="4" width="16.1796875" customWidth="1"/>
    <col min="5" max="5" width="14.54296875" customWidth="1"/>
    <col min="6" max="6" width="11.90625" customWidth="1"/>
    <col min="7" max="7" width="12.26953125" customWidth="1"/>
    <col min="8" max="8" width="10.453125" customWidth="1"/>
    <col min="9" max="9" width="11.90625" customWidth="1"/>
    <col min="10" max="10" width="10.1796875" customWidth="1"/>
    <col min="11" max="11" width="9.6328125" customWidth="1"/>
    <col min="12" max="12" width="5.90625" customWidth="1"/>
    <col min="13" max="13" width="12.08984375" bestFit="1" customWidth="1"/>
    <col min="15" max="15" width="12.54296875" bestFit="1" customWidth="1"/>
    <col min="17" max="17" width="14" bestFit="1" customWidth="1"/>
    <col min="19" max="19" width="12.6328125" bestFit="1" customWidth="1"/>
    <col min="20" max="20" width="8.36328125" customWidth="1"/>
    <col min="21" max="21" width="14.26953125" customWidth="1"/>
    <col min="22" max="22" width="10.08984375" customWidth="1"/>
    <col min="23" max="23" width="12.7265625" customWidth="1"/>
    <col min="24" max="24" width="8.54296875" customWidth="1"/>
    <col min="25" max="25" width="10.6328125" customWidth="1"/>
    <col min="26" max="26" width="9.90625" customWidth="1"/>
    <col min="27" max="27" width="17.6328125" customWidth="1"/>
    <col min="28" max="28" width="9.6328125" customWidth="1"/>
    <col min="29" max="29" width="13.7265625" customWidth="1"/>
    <col min="30" max="30" width="10.1796875" customWidth="1"/>
    <col min="31" max="31" width="15.90625" customWidth="1"/>
    <col min="32" max="32" width="11.453125" customWidth="1"/>
    <col min="33" max="33" width="16.36328125" customWidth="1"/>
    <col min="34" max="34" width="11.453125" customWidth="1"/>
    <col min="35" max="35" width="10.08984375" customWidth="1"/>
    <col min="36" max="36" width="10.7265625" bestFit="1" customWidth="1"/>
  </cols>
  <sheetData>
    <row r="1" spans="1:37">
      <c r="A1" s="33" t="s">
        <v>10</v>
      </c>
      <c r="B1" s="33" t="s">
        <v>122</v>
      </c>
      <c r="C1" s="33" t="s">
        <v>123</v>
      </c>
      <c r="D1" s="33" t="s">
        <v>124</v>
      </c>
      <c r="E1" s="33" t="s">
        <v>126</v>
      </c>
      <c r="F1" s="33" t="s">
        <v>128</v>
      </c>
      <c r="G1" s="33">
        <f>SUBTOTAL(9,D:D)</f>
        <v>952009.59999999986</v>
      </c>
      <c r="H1" s="33">
        <f>3350*K1</f>
        <v>40200</v>
      </c>
      <c r="I1" s="34">
        <f>G1/H1</f>
        <v>23.681830845771142</v>
      </c>
      <c r="J1" s="33" t="s">
        <v>130</v>
      </c>
      <c r="K1" s="35">
        <v>12</v>
      </c>
      <c r="L1" s="33"/>
      <c r="M1" s="33" t="s">
        <v>47</v>
      </c>
      <c r="N1" s="33">
        <f>K1*Fund!L2</f>
        <v>40200</v>
      </c>
      <c r="O1" s="33" t="s">
        <v>45</v>
      </c>
      <c r="P1" s="33">
        <f>K1*Fund!N2</f>
        <v>40200</v>
      </c>
      <c r="Q1" s="33" t="s">
        <v>117</v>
      </c>
      <c r="R1" s="33">
        <f>K1*Fund!AA2</f>
        <v>60000</v>
      </c>
      <c r="S1" s="33" t="s">
        <v>50</v>
      </c>
      <c r="T1" s="33">
        <f>K1*Fund!AD2</f>
        <v>40200</v>
      </c>
      <c r="U1" s="33" t="s">
        <v>113</v>
      </c>
      <c r="V1" s="33">
        <f>K1*Fund!AG2</f>
        <v>60300</v>
      </c>
      <c r="W1" s="33" t="s">
        <v>22</v>
      </c>
      <c r="X1" s="33">
        <f>Tracking!K1*Fund!AK2</f>
        <v>60300</v>
      </c>
      <c r="Y1" s="33" t="s">
        <v>114</v>
      </c>
      <c r="Z1" s="33">
        <f>K1*Fund!AS2</f>
        <v>1200</v>
      </c>
      <c r="AA1" s="33" t="s">
        <v>106</v>
      </c>
      <c r="AB1" s="33">
        <f>K1*Fund!BB2</f>
        <v>40200</v>
      </c>
      <c r="AC1" s="33" t="s">
        <v>107</v>
      </c>
      <c r="AD1" s="33">
        <f>K1*Fund!BD2</f>
        <v>40200</v>
      </c>
      <c r="AE1" s="33" t="s">
        <v>48</v>
      </c>
      <c r="AF1" s="33">
        <f>K1*Fund!O2</f>
        <v>0</v>
      </c>
      <c r="AG1" s="33" t="s">
        <v>144</v>
      </c>
      <c r="AH1" s="33"/>
      <c r="AI1" s="33" t="s">
        <v>141</v>
      </c>
      <c r="AJ1" s="33" t="s">
        <v>142</v>
      </c>
      <c r="AK1" s="33" t="s">
        <v>143</v>
      </c>
    </row>
    <row r="2" spans="1:37" hidden="1">
      <c r="A2" s="17">
        <v>44964</v>
      </c>
      <c r="B2" t="s">
        <v>106</v>
      </c>
      <c r="C2" t="s">
        <v>125</v>
      </c>
      <c r="D2">
        <v>2500</v>
      </c>
      <c r="E2" t="s">
        <v>127</v>
      </c>
      <c r="F2">
        <v>13.923500000000001</v>
      </c>
      <c r="AA2">
        <f>(D2+D6+D11+D19+D27+D32+D39+D43+D48+D52+D57+D62+D72+D79+D87+D96)/((D2/F2)+(D6/F6)+(D11/F11)+(D19/F19)+(D27/F27)+(D32/F32)+(D39/F39)+(D43/F43)+(D48/F48)+(D52/F52)+(D57/F57)+(D62/F62)+(D72/F72)+(D79/F79)+(D87/F87)+(D96/F96))</f>
        <v>15.440833447584406</v>
      </c>
      <c r="AI2" s="13">
        <f>(AA6-AA2)/AA2</f>
        <v>0.21710399013079359</v>
      </c>
      <c r="AK2" s="36">
        <f>(D2+D6+D11+D19+D27+D32+D39+D43+D48+D52+D57+D62+D72+D79+D87+D96)/SUM(D:D)</f>
        <v>6.7012995755048104E-3</v>
      </c>
    </row>
    <row r="3" spans="1:37" hidden="1">
      <c r="A3" s="17">
        <v>44964</v>
      </c>
      <c r="B3" s="5" t="s">
        <v>50</v>
      </c>
      <c r="C3" t="s">
        <v>125</v>
      </c>
      <c r="D3">
        <v>2500</v>
      </c>
      <c r="E3" t="s">
        <v>127</v>
      </c>
      <c r="F3">
        <v>10.045199999999999</v>
      </c>
      <c r="S3">
        <f>(D3+D23+D30+D36+D46+D59+D66+D78+D83+D91)/((D3/F3)+(D23/F23)+(D30/F30)+(D36/F36)+(D46/F46)+(D59/F59)+(D66/F66)+(D78/F78)+(D83/F83)+(D91/F91))</f>
        <v>9.4825283835396199</v>
      </c>
      <c r="AI3" s="13">
        <f>(S23-S3)/S3</f>
        <v>4.7642527202406748E-2</v>
      </c>
      <c r="AK3" s="36">
        <f>(D3+D23+D30+D36+D46+D59+D66+D78+D83+D91)/SUM(D:D)</f>
        <v>5.7439710647184091E-3</v>
      </c>
    </row>
    <row r="4" spans="1:37" hidden="1">
      <c r="A4" s="17">
        <v>44974</v>
      </c>
      <c r="B4" s="5" t="s">
        <v>107</v>
      </c>
      <c r="C4" t="s">
        <v>125</v>
      </c>
      <c r="D4">
        <v>1000</v>
      </c>
      <c r="E4" t="s">
        <v>127</v>
      </c>
      <c r="F4">
        <v>14.132300000000001</v>
      </c>
      <c r="AC4">
        <f>(D4+D13+D20+D49+D63+D73+D88+D98)/((D4/F4)+(D13/F13)+(D20/F20)+(D49/F49)+(D63/F63)+(D73/F73)+(D88/F88)+(D98/F98))</f>
        <v>15.060891271507458</v>
      </c>
      <c r="AI4" s="13">
        <f>(AC13-AC4)/AC4</f>
        <v>3.9745903326784071E-2</v>
      </c>
      <c r="AK4" s="13">
        <f>(D4+D13+D20+D49+D63+D73+D88+D98)/SUM(D:D)</f>
        <v>4.1028364747988638E-3</v>
      </c>
    </row>
    <row r="5" spans="1:37" hidden="1">
      <c r="A5" s="17">
        <v>45012</v>
      </c>
      <c r="B5" t="s">
        <v>117</v>
      </c>
      <c r="C5" t="s">
        <v>125</v>
      </c>
      <c r="D5">
        <v>1500</v>
      </c>
      <c r="E5" t="s">
        <v>109</v>
      </c>
      <c r="F5">
        <v>18.234500000000001</v>
      </c>
      <c r="Q5">
        <f>(D5+D7+D12+D14+D15+D16+D17+D22+D25+D29+D35+D42+D45+D51+D55+D70+D77+D82+D92)/((D5/F5)+(D7/F7)+(D12/F12)+(D14/F14)+(D15/F15)+(D16/F16)+(D17/F17)+(D22/F22)+(D25/F25)+(D29/F29)+(D35/F35)+(D42/F42)+(D45/F45)+(D51/F51)+(D55/F55)+(D70/F70)+(D77/F77)+(D82/F82)+(D92/F92))</f>
        <v>22.579069490704203</v>
      </c>
      <c r="AI5" s="13">
        <f>(Q7-Q5)/Q5</f>
        <v>0.14004698070474714</v>
      </c>
      <c r="AK5" s="38">
        <f>(D5+D7+D12+D14+D15+D16+D17+D22+D25+D29+D35+D42+D45++D51+D55+D70+D77+D82+D92)/SUM(D:D)</f>
        <v>6.5645383596781813E-3</v>
      </c>
    </row>
    <row r="6" spans="1:37" hidden="1">
      <c r="A6" s="17">
        <v>45019</v>
      </c>
      <c r="B6" t="s">
        <v>106</v>
      </c>
      <c r="C6" t="s">
        <v>125</v>
      </c>
      <c r="D6">
        <v>2000</v>
      </c>
      <c r="E6" t="s">
        <v>127</v>
      </c>
      <c r="F6">
        <v>13.742000000000001</v>
      </c>
      <c r="AA6">
        <f>Fund!BB316</f>
        <v>18.793099999999999</v>
      </c>
    </row>
    <row r="7" spans="1:37" hidden="1">
      <c r="A7" s="17">
        <v>45019</v>
      </c>
      <c r="B7" t="s">
        <v>117</v>
      </c>
      <c r="C7" t="s">
        <v>125</v>
      </c>
      <c r="D7">
        <v>1000</v>
      </c>
      <c r="E7" t="s">
        <v>109</v>
      </c>
      <c r="F7">
        <v>18.887799999999999</v>
      </c>
      <c r="Q7">
        <f>Fund!AA316</f>
        <v>25.741199999999999</v>
      </c>
    </row>
    <row r="8" spans="1:37" hidden="1">
      <c r="A8" s="17">
        <v>45019</v>
      </c>
      <c r="B8" t="s">
        <v>113</v>
      </c>
      <c r="C8" t="s">
        <v>125</v>
      </c>
      <c r="D8">
        <v>1000</v>
      </c>
      <c r="E8" t="s">
        <v>127</v>
      </c>
      <c r="F8">
        <v>8.2853999999999992</v>
      </c>
      <c r="U8">
        <f>(D8+D10+D18+D26+D31+D37+D40+D47+D56+D60+D64+D71+D84+D93)/((D8/F8)+(D10/F10)+(D18/F18)+(D26/F26)+(D31/F31)+(D37/F37)+(D40/F40)+(D47/F47)+(D56/F56)+(D60/F60)+(D64/F64)+(D71/F71)+(D84/F84)+(D93/F93))</f>
        <v>8.7473374068182448</v>
      </c>
      <c r="AI8" s="13">
        <f>(U10-U8)/U8</f>
        <v>5.8607844803397244E-2</v>
      </c>
      <c r="AK8" s="36">
        <f>(D8+D10+D18+D26+D31+D37+D40+D47+D56+D60+D64+D71+D84+D93)/SUM(D:D)</f>
        <v>6.4277771438515522E-3</v>
      </c>
    </row>
    <row r="9" spans="1:37" hidden="1">
      <c r="A9" s="17">
        <v>45019</v>
      </c>
      <c r="B9" s="5" t="s">
        <v>114</v>
      </c>
      <c r="C9" t="s">
        <v>125</v>
      </c>
      <c r="D9">
        <v>1000</v>
      </c>
      <c r="E9" t="s">
        <v>127</v>
      </c>
      <c r="F9">
        <v>23.7089</v>
      </c>
      <c r="Y9">
        <f>(D9+D38+D61+D65+D69+D86+D97)/((D9/F9)+(D38/F38)+(D61/F61)+(D65/F65)+(D69/F69)+(D86/F86)+(D97/F97))</f>
        <v>21.221610777324827</v>
      </c>
      <c r="AI9" s="13">
        <f>(Y38-Y9)/Y9</f>
        <v>-4.8022168719499946E-3</v>
      </c>
      <c r="AK9" s="13">
        <f>(D9+D38+D61+D65+D69+D86+D97)/SUM(D:D)</f>
        <v>3.8293140431456059E-3</v>
      </c>
    </row>
    <row r="10" spans="1:37" hidden="1">
      <c r="A10" s="17">
        <v>45026</v>
      </c>
      <c r="B10" t="s">
        <v>113</v>
      </c>
      <c r="C10" t="s">
        <v>125</v>
      </c>
      <c r="D10">
        <v>1000</v>
      </c>
      <c r="E10" t="s">
        <v>127</v>
      </c>
      <c r="F10">
        <v>8.2180999999999997</v>
      </c>
      <c r="U10">
        <f>Fund!AG316</f>
        <v>9.26</v>
      </c>
    </row>
    <row r="11" spans="1:37" hidden="1">
      <c r="A11" s="17">
        <v>45026</v>
      </c>
      <c r="B11" t="s">
        <v>106</v>
      </c>
      <c r="C11" t="s">
        <v>125</v>
      </c>
      <c r="D11">
        <v>1500</v>
      </c>
      <c r="E11" t="s">
        <v>127</v>
      </c>
      <c r="F11">
        <v>13.6899</v>
      </c>
    </row>
    <row r="12" spans="1:37" hidden="1">
      <c r="A12" s="17">
        <v>45026</v>
      </c>
      <c r="B12" t="s">
        <v>117</v>
      </c>
      <c r="C12" t="s">
        <v>125</v>
      </c>
      <c r="D12">
        <v>1000</v>
      </c>
      <c r="E12" t="s">
        <v>109</v>
      </c>
      <c r="F12">
        <v>18.732900000000001</v>
      </c>
    </row>
    <row r="13" spans="1:37" hidden="1">
      <c r="A13" s="17">
        <v>45034</v>
      </c>
      <c r="B13" s="5" t="s">
        <v>107</v>
      </c>
      <c r="C13" t="s">
        <v>125</v>
      </c>
      <c r="D13">
        <v>1000</v>
      </c>
      <c r="E13" t="s">
        <v>127</v>
      </c>
      <c r="F13">
        <v>14.367100000000001</v>
      </c>
      <c r="AC13">
        <f>Fund!BD316</f>
        <v>15.6595</v>
      </c>
    </row>
    <row r="14" spans="1:37" hidden="1">
      <c r="A14" s="17">
        <v>45048</v>
      </c>
      <c r="B14" t="s">
        <v>117</v>
      </c>
      <c r="C14" t="s">
        <v>125</v>
      </c>
      <c r="D14">
        <v>1000</v>
      </c>
      <c r="E14" t="s">
        <v>109</v>
      </c>
      <c r="F14">
        <v>18.779599999999999</v>
      </c>
    </row>
    <row r="15" spans="1:37" hidden="1">
      <c r="A15" s="17">
        <v>45055</v>
      </c>
      <c r="B15" t="s">
        <v>117</v>
      </c>
      <c r="C15" t="s">
        <v>125</v>
      </c>
      <c r="D15">
        <v>1000</v>
      </c>
      <c r="E15" t="s">
        <v>109</v>
      </c>
      <c r="F15">
        <v>18.860900000000001</v>
      </c>
    </row>
    <row r="16" spans="1:37" hidden="1">
      <c r="A16" s="17">
        <v>45062</v>
      </c>
      <c r="B16" t="s">
        <v>117</v>
      </c>
      <c r="C16" t="s">
        <v>125</v>
      </c>
      <c r="D16">
        <v>1000</v>
      </c>
      <c r="E16" t="s">
        <v>109</v>
      </c>
      <c r="F16">
        <v>19.173300000000001</v>
      </c>
    </row>
    <row r="17" spans="1:37" hidden="1">
      <c r="A17" s="17">
        <v>45069</v>
      </c>
      <c r="B17" t="s">
        <v>117</v>
      </c>
      <c r="C17" t="s">
        <v>125</v>
      </c>
      <c r="D17">
        <v>1000</v>
      </c>
      <c r="E17" t="s">
        <v>109</v>
      </c>
      <c r="F17">
        <v>19.579000000000001</v>
      </c>
    </row>
    <row r="18" spans="1:37" hidden="1">
      <c r="A18" s="17">
        <v>45069</v>
      </c>
      <c r="B18" t="s">
        <v>113</v>
      </c>
      <c r="C18" t="s">
        <v>125</v>
      </c>
      <c r="D18">
        <v>1000</v>
      </c>
      <c r="E18" t="s">
        <v>127</v>
      </c>
      <c r="F18">
        <v>8.1638000000000002</v>
      </c>
    </row>
    <row r="19" spans="1:37" hidden="1">
      <c r="A19" s="17">
        <v>45069</v>
      </c>
      <c r="B19" t="s">
        <v>106</v>
      </c>
      <c r="C19" t="s">
        <v>125</v>
      </c>
      <c r="D19">
        <v>1000</v>
      </c>
      <c r="E19" t="s">
        <v>127</v>
      </c>
      <c r="F19">
        <v>13.7765</v>
      </c>
    </row>
    <row r="20" spans="1:37" hidden="1">
      <c r="A20" s="17">
        <v>45069</v>
      </c>
      <c r="B20" s="5" t="s">
        <v>107</v>
      </c>
      <c r="C20" t="s">
        <v>125</v>
      </c>
      <c r="D20">
        <v>1000</v>
      </c>
      <c r="E20" t="s">
        <v>127</v>
      </c>
      <c r="F20">
        <v>14.416</v>
      </c>
    </row>
    <row r="21" spans="1:37" hidden="1">
      <c r="A21" s="17">
        <v>45076</v>
      </c>
      <c r="B21" s="5" t="s">
        <v>47</v>
      </c>
      <c r="C21" t="s">
        <v>125</v>
      </c>
      <c r="D21">
        <v>1000</v>
      </c>
      <c r="E21" t="s">
        <v>127</v>
      </c>
      <c r="F21">
        <v>11.027900000000001</v>
      </c>
      <c r="M21">
        <f>(D21+D24+D28+D33+D41+D44+D53+D58+D68+D75+D80+D95+D100)/((D21/F21)+(D24/F24)+(D28/F28)+(D33/F33)+(D41/F41)+(D44/F44)+(D53/F53)+(D58/F58)+(D68/F68)+(D75/F75)+(D80/F80)+(D95/F95)+(D100/F100))</f>
        <v>13.574325376076253</v>
      </c>
      <c r="AI21" s="13">
        <f>(M24-M21)/M21</f>
        <v>0.10486522051641078</v>
      </c>
      <c r="AK21" s="36">
        <f>(D21+D24+D28+D33+D41+D44+D53+D58+D68+D75+D80+D95+D100)/SUM(D:D)</f>
        <v>2.9592077329769536E-2</v>
      </c>
    </row>
    <row r="22" spans="1:37" hidden="1">
      <c r="A22" s="17">
        <v>45076</v>
      </c>
      <c r="B22" t="s">
        <v>117</v>
      </c>
      <c r="C22" t="s">
        <v>125</v>
      </c>
      <c r="D22">
        <v>1000</v>
      </c>
      <c r="E22" t="s">
        <v>109</v>
      </c>
      <c r="F22">
        <v>20.538</v>
      </c>
    </row>
    <row r="23" spans="1:37" hidden="1">
      <c r="A23" s="17">
        <v>45076</v>
      </c>
      <c r="B23" s="5" t="s">
        <v>50</v>
      </c>
      <c r="C23" t="s">
        <v>125</v>
      </c>
      <c r="D23">
        <v>1000</v>
      </c>
      <c r="E23" t="s">
        <v>127</v>
      </c>
      <c r="F23">
        <v>9.6010000000000009</v>
      </c>
      <c r="S23">
        <f>Fund!AD316</f>
        <v>9.9343000000000004</v>
      </c>
    </row>
    <row r="24" spans="1:37" hidden="1">
      <c r="A24" s="17">
        <v>45084</v>
      </c>
      <c r="B24" s="5" t="s">
        <v>47</v>
      </c>
      <c r="C24" t="s">
        <v>125</v>
      </c>
      <c r="D24">
        <v>1000</v>
      </c>
      <c r="E24" t="s">
        <v>127</v>
      </c>
      <c r="F24">
        <v>11.229799999999999</v>
      </c>
      <c r="M24">
        <f>Fund!L316</f>
        <v>14.9978</v>
      </c>
    </row>
    <row r="25" spans="1:37" hidden="1">
      <c r="A25" s="17">
        <v>45084</v>
      </c>
      <c r="B25" t="s">
        <v>117</v>
      </c>
      <c r="C25" t="s">
        <v>125</v>
      </c>
      <c r="D25">
        <v>1000</v>
      </c>
      <c r="E25" t="s">
        <v>109</v>
      </c>
      <c r="F25">
        <v>20.155999999999999</v>
      </c>
    </row>
    <row r="26" spans="1:37" hidden="1">
      <c r="A26" s="17">
        <v>45084</v>
      </c>
      <c r="B26" t="s">
        <v>113</v>
      </c>
      <c r="C26" t="s">
        <v>125</v>
      </c>
      <c r="D26">
        <v>1000</v>
      </c>
      <c r="E26" t="s">
        <v>127</v>
      </c>
      <c r="F26">
        <v>8.4854000000000003</v>
      </c>
    </row>
    <row r="27" spans="1:37" hidden="1">
      <c r="A27" s="17">
        <v>45084</v>
      </c>
      <c r="B27" t="s">
        <v>106</v>
      </c>
      <c r="C27" t="s">
        <v>125</v>
      </c>
      <c r="D27">
        <v>1000</v>
      </c>
      <c r="E27" t="s">
        <v>127</v>
      </c>
      <c r="F27">
        <v>14.172499999999999</v>
      </c>
    </row>
    <row r="28" spans="1:37" hidden="1">
      <c r="A28" s="17">
        <v>45092</v>
      </c>
      <c r="B28" s="5" t="s">
        <v>47</v>
      </c>
      <c r="C28" t="s">
        <v>125</v>
      </c>
      <c r="D28">
        <v>1000</v>
      </c>
      <c r="E28" t="s">
        <v>127</v>
      </c>
      <c r="F28">
        <v>11.413399999999999</v>
      </c>
    </row>
    <row r="29" spans="1:37" hidden="1">
      <c r="A29" s="17">
        <v>45091</v>
      </c>
      <c r="B29" t="s">
        <v>117</v>
      </c>
      <c r="C29" t="s">
        <v>125</v>
      </c>
      <c r="D29">
        <v>1000</v>
      </c>
      <c r="E29" t="s">
        <v>109</v>
      </c>
      <c r="F29">
        <v>21.099799999999998</v>
      </c>
    </row>
    <row r="30" spans="1:37" hidden="1">
      <c r="A30" s="17">
        <v>45092</v>
      </c>
      <c r="B30" s="5" t="s">
        <v>50</v>
      </c>
      <c r="C30" t="s">
        <v>125</v>
      </c>
      <c r="D30">
        <v>1000</v>
      </c>
      <c r="E30" t="s">
        <v>127</v>
      </c>
      <c r="F30">
        <v>9.9544999999999995</v>
      </c>
    </row>
    <row r="31" spans="1:37" hidden="1">
      <c r="A31" s="17">
        <v>45092</v>
      </c>
      <c r="B31" t="s">
        <v>113</v>
      </c>
      <c r="C31" t="s">
        <v>125</v>
      </c>
      <c r="D31">
        <v>1000</v>
      </c>
      <c r="E31" t="s">
        <v>127</v>
      </c>
      <c r="F31">
        <v>8.5083000000000002</v>
      </c>
    </row>
    <row r="32" spans="1:37" hidden="1">
      <c r="A32" s="17">
        <v>45091</v>
      </c>
      <c r="B32" t="s">
        <v>106</v>
      </c>
      <c r="C32" t="s">
        <v>125</v>
      </c>
      <c r="D32">
        <v>1000</v>
      </c>
      <c r="E32" t="s">
        <v>127</v>
      </c>
      <c r="F32">
        <v>14.4917</v>
      </c>
    </row>
    <row r="33" spans="1:37" hidden="1">
      <c r="A33" s="17">
        <v>45099</v>
      </c>
      <c r="B33" s="5" t="s">
        <v>47</v>
      </c>
      <c r="C33" t="s">
        <v>125</v>
      </c>
      <c r="D33">
        <v>1000</v>
      </c>
      <c r="E33" t="s">
        <v>127</v>
      </c>
      <c r="F33">
        <v>11.1652</v>
      </c>
    </row>
    <row r="34" spans="1:37" hidden="1">
      <c r="A34" s="17">
        <v>45098</v>
      </c>
      <c r="B34" s="5" t="s">
        <v>45</v>
      </c>
      <c r="C34" t="s">
        <v>125</v>
      </c>
      <c r="D34">
        <v>1000</v>
      </c>
      <c r="E34" t="s">
        <v>127</v>
      </c>
      <c r="F34">
        <v>10.120900000000001</v>
      </c>
      <c r="O34" s="14">
        <f>(D34+D67+D76+D81+D94)/((D34/F34)+(D67/F67)+(D76/F76)+(D81/F81)+(D94/F94))</f>
        <v>9.1937523633960652</v>
      </c>
      <c r="AI34" s="13">
        <f>(O67-O34)/O34</f>
        <v>1.0327408532555111E-2</v>
      </c>
      <c r="AK34" s="13">
        <f>(D34+D67+D76+D81+D94)/SUM(D:D)</f>
        <v>4.7866425539320068E-3</v>
      </c>
    </row>
    <row r="35" spans="1:37" hidden="1">
      <c r="A35" s="17">
        <v>45098</v>
      </c>
      <c r="B35" t="s">
        <v>117</v>
      </c>
      <c r="C35" t="s">
        <v>125</v>
      </c>
      <c r="D35">
        <v>1000</v>
      </c>
      <c r="E35" t="s">
        <v>109</v>
      </c>
      <c r="F35">
        <v>20.905799999999999</v>
      </c>
    </row>
    <row r="36" spans="1:37" hidden="1">
      <c r="A36" s="17">
        <v>45099</v>
      </c>
      <c r="B36" s="5" t="s">
        <v>50</v>
      </c>
      <c r="C36" t="s">
        <v>125</v>
      </c>
      <c r="D36">
        <v>1000</v>
      </c>
      <c r="E36" t="s">
        <v>127</v>
      </c>
      <c r="F36">
        <v>9.7248999999999999</v>
      </c>
    </row>
    <row r="37" spans="1:37" hidden="1">
      <c r="A37" s="17">
        <v>45099</v>
      </c>
      <c r="B37" t="s">
        <v>113</v>
      </c>
      <c r="C37" t="s">
        <v>125</v>
      </c>
      <c r="D37">
        <v>1000</v>
      </c>
      <c r="E37" t="s">
        <v>127</v>
      </c>
      <c r="F37">
        <v>8.6229999999999993</v>
      </c>
    </row>
    <row r="38" spans="1:37" hidden="1">
      <c r="A38" s="17">
        <v>45098</v>
      </c>
      <c r="B38" s="5" t="s">
        <v>114</v>
      </c>
      <c r="C38" t="s">
        <v>125</v>
      </c>
      <c r="D38">
        <v>1000</v>
      </c>
      <c r="E38" t="s">
        <v>127</v>
      </c>
      <c r="F38">
        <v>22.531400000000001</v>
      </c>
      <c r="Y38">
        <f>Fund!AS316</f>
        <v>21.119700000000002</v>
      </c>
    </row>
    <row r="39" spans="1:37" hidden="1">
      <c r="A39" s="17">
        <v>45098</v>
      </c>
      <c r="B39" t="s">
        <v>106</v>
      </c>
      <c r="C39" t="s">
        <v>125</v>
      </c>
      <c r="D39">
        <v>1000</v>
      </c>
      <c r="E39" t="s">
        <v>127</v>
      </c>
      <c r="F39">
        <v>14.4687</v>
      </c>
    </row>
    <row r="40" spans="1:37" hidden="1">
      <c r="A40" s="17">
        <v>45105</v>
      </c>
      <c r="B40" t="s">
        <v>113</v>
      </c>
      <c r="C40" t="s">
        <v>125</v>
      </c>
      <c r="D40">
        <v>1000</v>
      </c>
      <c r="E40" t="s">
        <v>127</v>
      </c>
      <c r="F40">
        <v>8.8924000000000003</v>
      </c>
    </row>
    <row r="41" spans="1:37" hidden="1">
      <c r="A41" s="17">
        <v>45105</v>
      </c>
      <c r="B41" s="5" t="s">
        <v>47</v>
      </c>
      <c r="C41" t="s">
        <v>125</v>
      </c>
      <c r="D41">
        <v>1000</v>
      </c>
      <c r="E41" t="s">
        <v>127</v>
      </c>
      <c r="F41">
        <v>11.235300000000001</v>
      </c>
    </row>
    <row r="42" spans="1:37" hidden="1">
      <c r="A42" s="17">
        <v>45105</v>
      </c>
      <c r="B42" t="s">
        <v>117</v>
      </c>
      <c r="C42" t="s">
        <v>125</v>
      </c>
      <c r="D42">
        <v>1000</v>
      </c>
      <c r="E42" t="s">
        <v>109</v>
      </c>
      <c r="F42">
        <v>21.0764</v>
      </c>
    </row>
    <row r="43" spans="1:37" hidden="1">
      <c r="A43" s="17">
        <v>45105</v>
      </c>
      <c r="B43" t="s">
        <v>106</v>
      </c>
      <c r="C43" t="s">
        <v>125</v>
      </c>
      <c r="D43">
        <v>1000</v>
      </c>
      <c r="E43" t="s">
        <v>127</v>
      </c>
      <c r="F43">
        <v>14.514699999999999</v>
      </c>
    </row>
    <row r="44" spans="1:37" hidden="1">
      <c r="A44" s="17">
        <v>45113</v>
      </c>
      <c r="B44" s="5" t="s">
        <v>47</v>
      </c>
      <c r="C44" t="s">
        <v>125</v>
      </c>
      <c r="D44">
        <v>1000</v>
      </c>
      <c r="E44" t="s">
        <v>127</v>
      </c>
      <c r="F44">
        <v>11.083399999999999</v>
      </c>
    </row>
    <row r="45" spans="1:37" hidden="1">
      <c r="A45" s="17">
        <v>45112</v>
      </c>
      <c r="B45" t="s">
        <v>117</v>
      </c>
      <c r="C45" t="s">
        <v>125</v>
      </c>
      <c r="D45">
        <v>1000</v>
      </c>
      <c r="E45" t="s">
        <v>109</v>
      </c>
      <c r="F45">
        <v>21.366800000000001</v>
      </c>
    </row>
    <row r="46" spans="1:37" hidden="1">
      <c r="A46" s="17">
        <v>45113</v>
      </c>
      <c r="B46" s="5" t="s">
        <v>50</v>
      </c>
      <c r="C46" t="s">
        <v>125</v>
      </c>
      <c r="D46">
        <v>1000</v>
      </c>
      <c r="E46" t="s">
        <v>127</v>
      </c>
      <c r="F46">
        <v>9.7090999999999994</v>
      </c>
    </row>
    <row r="47" spans="1:37" hidden="1">
      <c r="A47" s="17">
        <v>45114</v>
      </c>
      <c r="B47" t="s">
        <v>113</v>
      </c>
      <c r="C47" t="s">
        <v>125</v>
      </c>
      <c r="D47">
        <v>1000</v>
      </c>
      <c r="E47" t="s">
        <v>127</v>
      </c>
      <c r="F47">
        <v>8.7284000000000006</v>
      </c>
    </row>
    <row r="48" spans="1:37" hidden="1">
      <c r="A48" s="17">
        <v>45112</v>
      </c>
      <c r="B48" t="s">
        <v>106</v>
      </c>
      <c r="C48" t="s">
        <v>125</v>
      </c>
      <c r="D48">
        <v>1000</v>
      </c>
      <c r="E48" t="s">
        <v>127</v>
      </c>
      <c r="F48">
        <v>14.723599999999999</v>
      </c>
    </row>
    <row r="49" spans="1:37" hidden="1">
      <c r="A49" s="17">
        <v>45114</v>
      </c>
      <c r="B49" s="5" t="s">
        <v>107</v>
      </c>
      <c r="C49" t="s">
        <v>125</v>
      </c>
      <c r="D49">
        <v>1000</v>
      </c>
      <c r="E49" t="s">
        <v>127</v>
      </c>
      <c r="F49">
        <v>13.9046</v>
      </c>
    </row>
    <row r="50" spans="1:37" hidden="1">
      <c r="A50" s="17">
        <v>45114</v>
      </c>
      <c r="B50" t="s">
        <v>48</v>
      </c>
      <c r="C50" t="s">
        <v>125</v>
      </c>
      <c r="D50">
        <v>1000</v>
      </c>
      <c r="E50" t="s">
        <v>127</v>
      </c>
      <c r="F50">
        <v>16.169499999999999</v>
      </c>
      <c r="AE50">
        <f>(D50+D54)/((D50/F50)+(D54/F54))</f>
        <v>16.503073491378007</v>
      </c>
      <c r="AI50" s="13">
        <f>(AE54-AE50)/AE50</f>
        <v>3.2856092466974636E-2</v>
      </c>
      <c r="AK50" s="36">
        <f>(D50+D54)/SUM(D:D)</f>
        <v>2.7352243165325757E-4</v>
      </c>
    </row>
    <row r="51" spans="1:37" hidden="1">
      <c r="A51" s="17">
        <v>45119</v>
      </c>
      <c r="B51" t="s">
        <v>117</v>
      </c>
      <c r="C51" t="s">
        <v>125</v>
      </c>
      <c r="D51">
        <v>1000</v>
      </c>
      <c r="E51" t="s">
        <v>109</v>
      </c>
      <c r="F51">
        <v>21.496300000000002</v>
      </c>
    </row>
    <row r="52" spans="1:37" hidden="1">
      <c r="A52" s="17">
        <v>45119</v>
      </c>
      <c r="B52" t="s">
        <v>106</v>
      </c>
      <c r="C52" t="s">
        <v>125</v>
      </c>
      <c r="D52">
        <v>1000</v>
      </c>
      <c r="E52" t="s">
        <v>127</v>
      </c>
      <c r="F52">
        <v>14.8004</v>
      </c>
    </row>
    <row r="53" spans="1:37" hidden="1">
      <c r="A53" s="17">
        <v>45125</v>
      </c>
      <c r="B53" s="5" t="s">
        <v>47</v>
      </c>
      <c r="C53" t="s">
        <v>125</v>
      </c>
      <c r="D53">
        <v>1000</v>
      </c>
      <c r="E53" t="s">
        <v>127</v>
      </c>
      <c r="F53">
        <v>11.6965</v>
      </c>
    </row>
    <row r="54" spans="1:37" hidden="1">
      <c r="A54" s="17">
        <v>45128</v>
      </c>
      <c r="B54" t="s">
        <v>48</v>
      </c>
      <c r="C54" t="s">
        <v>125</v>
      </c>
      <c r="D54">
        <v>1000</v>
      </c>
      <c r="E54" t="s">
        <v>127</v>
      </c>
      <c r="F54">
        <v>16.8507</v>
      </c>
      <c r="AE54">
        <f>Fund!O316</f>
        <v>17.045300000000001</v>
      </c>
    </row>
    <row r="55" spans="1:37" hidden="1">
      <c r="A55" s="17">
        <v>45125</v>
      </c>
      <c r="B55" t="s">
        <v>117</v>
      </c>
      <c r="C55" t="s">
        <v>125</v>
      </c>
      <c r="D55">
        <v>1000</v>
      </c>
      <c r="E55" t="s">
        <v>109</v>
      </c>
      <c r="F55">
        <v>22.1692</v>
      </c>
    </row>
    <row r="56" spans="1:37" hidden="1">
      <c r="A56" s="17">
        <v>45125</v>
      </c>
      <c r="B56" t="s">
        <v>113</v>
      </c>
      <c r="C56" t="s">
        <v>125</v>
      </c>
      <c r="D56">
        <v>1000</v>
      </c>
      <c r="E56" t="s">
        <v>127</v>
      </c>
      <c r="F56">
        <v>8.7800999999999991</v>
      </c>
    </row>
    <row r="57" spans="1:37" hidden="1">
      <c r="A57" s="17">
        <v>45125</v>
      </c>
      <c r="B57" t="s">
        <v>106</v>
      </c>
      <c r="C57" t="s">
        <v>125</v>
      </c>
      <c r="D57">
        <v>1000</v>
      </c>
      <c r="E57" t="s">
        <v>127</v>
      </c>
      <c r="F57">
        <v>15.0387</v>
      </c>
    </row>
    <row r="58" spans="1:37" hidden="1">
      <c r="A58" s="17">
        <v>45131</v>
      </c>
      <c r="B58" s="5" t="s">
        <v>47</v>
      </c>
      <c r="C58" t="s">
        <v>125</v>
      </c>
      <c r="D58">
        <v>1000</v>
      </c>
      <c r="E58" t="s">
        <v>127</v>
      </c>
      <c r="F58">
        <v>11.321899999999999</v>
      </c>
    </row>
    <row r="59" spans="1:37" hidden="1">
      <c r="A59" s="17">
        <v>45131</v>
      </c>
      <c r="B59" s="5" t="s">
        <v>50</v>
      </c>
      <c r="C59" t="s">
        <v>125</v>
      </c>
      <c r="D59">
        <v>1000</v>
      </c>
      <c r="E59" t="s">
        <v>127</v>
      </c>
      <c r="F59">
        <v>9.8033000000000001</v>
      </c>
    </row>
    <row r="60" spans="1:37" hidden="1">
      <c r="A60" s="17">
        <v>45133</v>
      </c>
      <c r="B60" t="s">
        <v>113</v>
      </c>
      <c r="C60" t="s">
        <v>125</v>
      </c>
      <c r="D60">
        <v>1000</v>
      </c>
      <c r="E60" t="s">
        <v>127</v>
      </c>
      <c r="F60">
        <v>9.0952000000000002</v>
      </c>
    </row>
    <row r="61" spans="1:37" hidden="1">
      <c r="A61" s="17">
        <v>45134</v>
      </c>
      <c r="B61" s="5" t="s">
        <v>114</v>
      </c>
      <c r="C61" t="s">
        <v>125</v>
      </c>
      <c r="D61">
        <v>1000</v>
      </c>
      <c r="E61" t="s">
        <v>127</v>
      </c>
      <c r="F61">
        <v>23.113900000000001</v>
      </c>
    </row>
    <row r="62" spans="1:37" hidden="1">
      <c r="A62" s="17">
        <v>45135</v>
      </c>
      <c r="B62" t="s">
        <v>106</v>
      </c>
      <c r="C62" t="s">
        <v>125</v>
      </c>
      <c r="D62">
        <v>1000</v>
      </c>
      <c r="E62" t="s">
        <v>127</v>
      </c>
      <c r="F62">
        <v>14.9648</v>
      </c>
    </row>
    <row r="63" spans="1:37" hidden="1">
      <c r="A63" s="17">
        <v>45131</v>
      </c>
      <c r="B63" s="5" t="s">
        <v>107</v>
      </c>
      <c r="C63" t="s">
        <v>125</v>
      </c>
      <c r="D63">
        <v>1000</v>
      </c>
      <c r="E63" t="s">
        <v>127</v>
      </c>
      <c r="F63">
        <v>14.443199999999999</v>
      </c>
    </row>
    <row r="64" spans="1:37" hidden="1">
      <c r="A64" s="17">
        <v>45155</v>
      </c>
      <c r="B64" t="s">
        <v>113</v>
      </c>
      <c r="C64" t="s">
        <v>125</v>
      </c>
      <c r="D64">
        <v>1000</v>
      </c>
      <c r="E64" t="s">
        <v>127</v>
      </c>
      <c r="F64">
        <v>9.5520999999999994</v>
      </c>
    </row>
    <row r="65" spans="1:37" hidden="1">
      <c r="A65" s="17">
        <v>45155</v>
      </c>
      <c r="B65" s="5" t="s">
        <v>114</v>
      </c>
      <c r="C65" t="s">
        <v>125</v>
      </c>
      <c r="D65">
        <v>1000</v>
      </c>
      <c r="E65" t="s">
        <v>127</v>
      </c>
      <c r="F65">
        <v>23.3033</v>
      </c>
    </row>
    <row r="66" spans="1:37" hidden="1">
      <c r="A66" s="17">
        <v>45236</v>
      </c>
      <c r="B66" s="5" t="s">
        <v>50</v>
      </c>
      <c r="C66" t="s">
        <v>125</v>
      </c>
      <c r="D66">
        <v>5000</v>
      </c>
      <c r="E66" t="s">
        <v>127</v>
      </c>
      <c r="F66">
        <v>8.6148000000000007</v>
      </c>
    </row>
    <row r="67" spans="1:37" hidden="1">
      <c r="A67" s="17">
        <v>45236</v>
      </c>
      <c r="B67" s="5" t="s">
        <v>45</v>
      </c>
      <c r="C67" t="s">
        <v>125</v>
      </c>
      <c r="D67">
        <v>5000</v>
      </c>
      <c r="E67" t="s">
        <v>127</v>
      </c>
      <c r="F67">
        <v>9.1218000000000004</v>
      </c>
      <c r="O67">
        <f>Fund!N316</f>
        <v>9.2887000000000004</v>
      </c>
    </row>
    <row r="68" spans="1:37" hidden="1">
      <c r="A68" s="17">
        <v>45236</v>
      </c>
      <c r="B68" s="5" t="s">
        <v>47</v>
      </c>
      <c r="C68" t="s">
        <v>125</v>
      </c>
      <c r="D68">
        <v>2000</v>
      </c>
      <c r="E68" t="s">
        <v>127</v>
      </c>
      <c r="F68">
        <v>10.7356</v>
      </c>
    </row>
    <row r="69" spans="1:37" hidden="1">
      <c r="A69" s="17">
        <v>45236</v>
      </c>
      <c r="B69" s="5" t="s">
        <v>114</v>
      </c>
      <c r="C69" t="s">
        <v>125</v>
      </c>
      <c r="D69">
        <v>1000</v>
      </c>
      <c r="E69" t="s">
        <v>127</v>
      </c>
      <c r="F69">
        <v>21.940899999999999</v>
      </c>
    </row>
    <row r="70" spans="1:37" hidden="1">
      <c r="A70" s="17">
        <v>45236</v>
      </c>
      <c r="B70" t="s">
        <v>117</v>
      </c>
      <c r="C70" t="s">
        <v>125</v>
      </c>
      <c r="D70">
        <v>2500</v>
      </c>
      <c r="E70" t="s">
        <v>109</v>
      </c>
      <c r="F70">
        <v>20.679300000000001</v>
      </c>
    </row>
    <row r="71" spans="1:37" hidden="1">
      <c r="A71" s="17">
        <v>45236</v>
      </c>
      <c r="B71" t="s">
        <v>113</v>
      </c>
      <c r="C71" t="s">
        <v>125</v>
      </c>
      <c r="D71">
        <v>4000</v>
      </c>
      <c r="E71" t="s">
        <v>127</v>
      </c>
      <c r="F71">
        <v>8.2395999999999994</v>
      </c>
    </row>
    <row r="72" spans="1:37" hidden="1">
      <c r="A72" s="17">
        <v>45236</v>
      </c>
      <c r="B72" t="s">
        <v>106</v>
      </c>
      <c r="C72" t="s">
        <v>125</v>
      </c>
      <c r="D72">
        <v>5000</v>
      </c>
      <c r="E72" t="s">
        <v>127</v>
      </c>
      <c r="F72">
        <v>14.254300000000001</v>
      </c>
    </row>
    <row r="73" spans="1:37" hidden="1">
      <c r="A73" s="17">
        <v>45236</v>
      </c>
      <c r="B73" s="5" t="s">
        <v>107</v>
      </c>
      <c r="C73" t="s">
        <v>125</v>
      </c>
      <c r="D73">
        <v>3000</v>
      </c>
      <c r="E73" t="s">
        <v>127</v>
      </c>
      <c r="F73">
        <v>13.6899</v>
      </c>
    </row>
    <row r="74" spans="1:37" hidden="1">
      <c r="A74" s="17">
        <v>45236</v>
      </c>
      <c r="B74" t="s">
        <v>22</v>
      </c>
      <c r="C74" t="s">
        <v>125</v>
      </c>
      <c r="D74">
        <v>5000</v>
      </c>
      <c r="E74" t="s">
        <v>127</v>
      </c>
      <c r="F74">
        <v>28.240400000000001</v>
      </c>
      <c r="W74">
        <f>(D74+D85+D90)/((D74/F74)+(D85/F85)+(D90/F90))</f>
        <v>28.101500985165721</v>
      </c>
      <c r="AI74" s="13">
        <f>(W85-W74)/W74</f>
        <v>1.3928046585158926E-2</v>
      </c>
      <c r="AK74" s="13">
        <f>(D74+D85+D90)/SUM(D:D)</f>
        <v>3.9660752589722346E-3</v>
      </c>
    </row>
    <row r="75" spans="1:37" hidden="1">
      <c r="A75" s="17">
        <v>45251</v>
      </c>
      <c r="B75" t="s">
        <v>47</v>
      </c>
      <c r="C75" t="s">
        <v>125</v>
      </c>
      <c r="D75">
        <v>2000</v>
      </c>
      <c r="E75" t="s">
        <v>127</v>
      </c>
      <c r="F75">
        <v>11.633100000000001</v>
      </c>
    </row>
    <row r="76" spans="1:37" hidden="1">
      <c r="A76" s="17">
        <v>45251</v>
      </c>
      <c r="B76" t="s">
        <v>45</v>
      </c>
      <c r="C76" t="s">
        <v>125</v>
      </c>
      <c r="D76">
        <v>2000</v>
      </c>
      <c r="E76" t="s">
        <v>127</v>
      </c>
      <c r="F76">
        <v>9.2576999999999998</v>
      </c>
    </row>
    <row r="77" spans="1:37" hidden="1">
      <c r="A77" s="17">
        <v>45251</v>
      </c>
      <c r="B77" t="s">
        <v>117</v>
      </c>
      <c r="C77" t="s">
        <v>125</v>
      </c>
      <c r="D77">
        <v>2000</v>
      </c>
      <c r="E77" t="s">
        <v>109</v>
      </c>
      <c r="F77">
        <v>21.7393</v>
      </c>
    </row>
    <row r="78" spans="1:37" hidden="1">
      <c r="A78" s="17">
        <v>45251</v>
      </c>
      <c r="B78" t="s">
        <v>50</v>
      </c>
      <c r="C78" t="s">
        <v>125</v>
      </c>
      <c r="D78">
        <v>2500</v>
      </c>
      <c r="E78" t="s">
        <v>127</v>
      </c>
      <c r="F78">
        <v>9.0289999999999999</v>
      </c>
    </row>
    <row r="79" spans="1:37" hidden="1">
      <c r="A79" s="17">
        <v>45251</v>
      </c>
      <c r="B79" t="s">
        <v>106</v>
      </c>
      <c r="C79" t="s">
        <v>125</v>
      </c>
      <c r="D79">
        <v>2000</v>
      </c>
      <c r="E79" t="s">
        <v>127</v>
      </c>
      <c r="F79">
        <v>14.7879</v>
      </c>
    </row>
    <row r="80" spans="1:37" hidden="1">
      <c r="A80" s="17">
        <v>45287</v>
      </c>
      <c r="B80" t="s">
        <v>47</v>
      </c>
      <c r="C80" t="s">
        <v>125</v>
      </c>
      <c r="D80">
        <v>15000</v>
      </c>
      <c r="E80" t="s">
        <v>127</v>
      </c>
      <c r="F80">
        <v>12.2736</v>
      </c>
    </row>
    <row r="81" spans="1:37" hidden="1">
      <c r="A81" s="17">
        <v>45288</v>
      </c>
      <c r="B81" t="s">
        <v>45</v>
      </c>
      <c r="C81" t="s">
        <v>125</v>
      </c>
      <c r="D81">
        <v>15000</v>
      </c>
      <c r="E81" t="s">
        <v>127</v>
      </c>
      <c r="F81">
        <v>9.0258000000000003</v>
      </c>
    </row>
    <row r="82" spans="1:37" hidden="1">
      <c r="A82" s="17">
        <v>45286</v>
      </c>
      <c r="B82" t="s">
        <v>117</v>
      </c>
      <c r="C82" t="s">
        <v>125</v>
      </c>
      <c r="D82">
        <v>10000</v>
      </c>
      <c r="E82" t="s">
        <v>109</v>
      </c>
      <c r="F82">
        <v>22.560199999999998</v>
      </c>
    </row>
    <row r="83" spans="1:37" hidden="1">
      <c r="A83" s="17">
        <v>45287</v>
      </c>
      <c r="B83" t="s">
        <v>50</v>
      </c>
      <c r="C83" t="s">
        <v>125</v>
      </c>
      <c r="D83">
        <v>15000</v>
      </c>
      <c r="E83" t="s">
        <v>127</v>
      </c>
      <c r="F83">
        <v>9.5760000000000005</v>
      </c>
    </row>
    <row r="84" spans="1:37" hidden="1">
      <c r="A84" s="17">
        <v>45286</v>
      </c>
      <c r="B84" t="s">
        <v>113</v>
      </c>
      <c r="C84" t="s">
        <v>125</v>
      </c>
      <c r="D84">
        <v>20000</v>
      </c>
      <c r="E84" t="s">
        <v>127</v>
      </c>
      <c r="F84">
        <v>8.2942</v>
      </c>
    </row>
    <row r="85" spans="1:37" hidden="1">
      <c r="A85" s="17">
        <v>45286</v>
      </c>
      <c r="B85" t="s">
        <v>22</v>
      </c>
      <c r="C85" t="s">
        <v>125</v>
      </c>
      <c r="D85">
        <v>10000</v>
      </c>
      <c r="E85" t="s">
        <v>127</v>
      </c>
      <c r="F85">
        <v>28.389600000000002</v>
      </c>
      <c r="W85">
        <f>Fund!AK316</f>
        <v>28.492899999999999</v>
      </c>
    </row>
    <row r="86" spans="1:37" hidden="1">
      <c r="A86" s="17">
        <v>45286</v>
      </c>
      <c r="B86" s="5" t="s">
        <v>114</v>
      </c>
      <c r="C86" t="s">
        <v>125</v>
      </c>
      <c r="D86">
        <v>8000</v>
      </c>
      <c r="E86" t="s">
        <v>127</v>
      </c>
      <c r="F86">
        <v>22.098500000000001</v>
      </c>
    </row>
    <row r="87" spans="1:37" hidden="1">
      <c r="A87" s="17">
        <v>45286</v>
      </c>
      <c r="B87" t="s">
        <v>106</v>
      </c>
      <c r="C87" t="s">
        <v>125</v>
      </c>
      <c r="D87">
        <v>15000</v>
      </c>
      <c r="E87" t="s">
        <v>127</v>
      </c>
      <c r="F87">
        <v>15.4863</v>
      </c>
    </row>
    <row r="88" spans="1:37" hidden="1">
      <c r="A88" s="17">
        <v>45287</v>
      </c>
      <c r="B88" s="5" t="s">
        <v>107</v>
      </c>
      <c r="C88" t="s">
        <v>125</v>
      </c>
      <c r="D88">
        <v>10000</v>
      </c>
      <c r="E88" t="s">
        <v>127</v>
      </c>
      <c r="F88">
        <v>14.734400000000001</v>
      </c>
    </row>
    <row r="89" spans="1:37" hidden="1">
      <c r="A89" s="17">
        <v>45441</v>
      </c>
      <c r="B89" t="s">
        <v>144</v>
      </c>
      <c r="C89" t="s">
        <v>125</v>
      </c>
      <c r="D89">
        <v>500</v>
      </c>
      <c r="E89" t="s">
        <v>127</v>
      </c>
      <c r="F89">
        <v>16.1266</v>
      </c>
      <c r="AG89">
        <f>(D89+D101)/((D89/F89)+(D101/F101))</f>
        <v>16.608828987796922</v>
      </c>
      <c r="AI89" s="13">
        <f>(AG101-AG89)/AG89</f>
        <v>4.14099641045379E-2</v>
      </c>
      <c r="AK89" s="13">
        <f>(D89+D101)/SUM(D:D)</f>
        <v>5.9545785504488635E-2</v>
      </c>
    </row>
    <row r="90" spans="1:37" hidden="1">
      <c r="A90" s="17">
        <v>45489</v>
      </c>
      <c r="B90" s="5" t="s">
        <v>22</v>
      </c>
      <c r="C90" t="s">
        <v>125</v>
      </c>
      <c r="D90">
        <v>14000</v>
      </c>
      <c r="E90" t="s">
        <v>127</v>
      </c>
      <c r="F90">
        <v>27.8507</v>
      </c>
    </row>
    <row r="91" spans="1:37" hidden="1">
      <c r="A91" s="17">
        <v>45489</v>
      </c>
      <c r="B91" t="s">
        <v>50</v>
      </c>
      <c r="C91" t="s">
        <v>125</v>
      </c>
      <c r="D91">
        <v>12000</v>
      </c>
      <c r="E91" t="s">
        <v>127</v>
      </c>
      <c r="F91">
        <v>9.6448999999999998</v>
      </c>
    </row>
    <row r="92" spans="1:37" hidden="1">
      <c r="A92" s="17">
        <v>45488</v>
      </c>
      <c r="B92" s="5" t="s">
        <v>117</v>
      </c>
      <c r="C92" t="s">
        <v>125</v>
      </c>
      <c r="D92">
        <v>18000</v>
      </c>
      <c r="E92" t="s">
        <v>109</v>
      </c>
      <c r="F92">
        <v>26.003399999999999</v>
      </c>
    </row>
    <row r="93" spans="1:37" hidden="1">
      <c r="A93" s="17">
        <v>45489</v>
      </c>
      <c r="B93" t="s">
        <v>113</v>
      </c>
      <c r="C93" t="s">
        <v>125</v>
      </c>
      <c r="D93">
        <v>12000</v>
      </c>
      <c r="E93" t="s">
        <v>127</v>
      </c>
      <c r="F93">
        <v>9.9626000000000001</v>
      </c>
    </row>
    <row r="94" spans="1:37" hidden="1">
      <c r="A94" s="17">
        <v>45489</v>
      </c>
      <c r="B94" s="5" t="s">
        <v>45</v>
      </c>
      <c r="C94" t="s">
        <v>125</v>
      </c>
      <c r="D94">
        <v>12000</v>
      </c>
      <c r="E94" t="s">
        <v>127</v>
      </c>
      <c r="F94">
        <v>9.36</v>
      </c>
    </row>
    <row r="95" spans="1:37" hidden="1">
      <c r="A95" s="17">
        <v>45488</v>
      </c>
      <c r="B95" t="s">
        <v>47</v>
      </c>
      <c r="C95" t="s">
        <v>125</v>
      </c>
      <c r="D95">
        <v>12000</v>
      </c>
      <c r="E95" t="s">
        <v>127</v>
      </c>
      <c r="F95">
        <v>15.439399999999999</v>
      </c>
    </row>
    <row r="96" spans="1:37" hidden="1">
      <c r="A96" s="17">
        <v>45488</v>
      </c>
      <c r="B96" s="5" t="s">
        <v>106</v>
      </c>
      <c r="C96" t="s">
        <v>125</v>
      </c>
      <c r="D96">
        <v>12000</v>
      </c>
      <c r="E96" t="s">
        <v>127</v>
      </c>
      <c r="F96">
        <v>18.040700000000001</v>
      </c>
    </row>
    <row r="97" spans="1:33" hidden="1">
      <c r="A97" s="17">
        <v>45489</v>
      </c>
      <c r="B97" t="s">
        <v>114</v>
      </c>
      <c r="C97" t="s">
        <v>125</v>
      </c>
      <c r="D97">
        <v>15000</v>
      </c>
      <c r="E97" t="s">
        <v>127</v>
      </c>
      <c r="F97">
        <v>20.295500000000001</v>
      </c>
    </row>
    <row r="98" spans="1:33" hidden="1">
      <c r="A98" s="17">
        <v>45489</v>
      </c>
      <c r="B98" s="5" t="s">
        <v>107</v>
      </c>
      <c r="C98" t="s">
        <v>125</v>
      </c>
      <c r="D98">
        <v>12000</v>
      </c>
      <c r="E98" t="s">
        <v>127</v>
      </c>
      <c r="F98">
        <v>16.1463</v>
      </c>
    </row>
    <row r="99" spans="1:33" hidden="1">
      <c r="A99" s="17">
        <v>45496</v>
      </c>
      <c r="B99" t="s">
        <v>16</v>
      </c>
      <c r="C99" t="s">
        <v>152</v>
      </c>
      <c r="E99" t="s">
        <v>127</v>
      </c>
      <c r="F99">
        <v>40.770699999999998</v>
      </c>
    </row>
    <row r="100" spans="1:33" hidden="1">
      <c r="A100" s="17">
        <v>45498</v>
      </c>
      <c r="B100" s="5" t="s">
        <v>47</v>
      </c>
      <c r="C100" t="s">
        <v>153</v>
      </c>
      <c r="D100">
        <v>177377.7</v>
      </c>
      <c r="E100" t="s">
        <v>127</v>
      </c>
      <c r="F100">
        <v>13.779400000000001</v>
      </c>
    </row>
    <row r="101" spans="1:33" hidden="1">
      <c r="A101" s="17">
        <v>45510</v>
      </c>
      <c r="B101" t="s">
        <v>144</v>
      </c>
      <c r="C101" t="s">
        <v>153</v>
      </c>
      <c r="D101">
        <v>434899.65</v>
      </c>
      <c r="E101" t="s">
        <v>127</v>
      </c>
      <c r="F101">
        <v>16.609400000000001</v>
      </c>
      <c r="AG101">
        <f>Fund!G316</f>
        <v>17.296600000000002</v>
      </c>
    </row>
    <row r="102" spans="1:33" hidden="1">
      <c r="A102" s="17">
        <v>45653</v>
      </c>
      <c r="B102" s="5" t="s">
        <v>144</v>
      </c>
      <c r="C102" t="s">
        <v>125</v>
      </c>
      <c r="D102">
        <v>69150</v>
      </c>
      <c r="E102" t="s">
        <v>127</v>
      </c>
      <c r="F102">
        <v>17.123899999999999</v>
      </c>
    </row>
    <row r="103" spans="1:33" hidden="1">
      <c r="A103" s="17">
        <v>45653</v>
      </c>
      <c r="B103" t="s">
        <v>47</v>
      </c>
      <c r="C103" t="s">
        <v>125</v>
      </c>
      <c r="D103">
        <v>34575</v>
      </c>
      <c r="E103" t="s">
        <v>127</v>
      </c>
      <c r="F103">
        <v>15.3064</v>
      </c>
    </row>
    <row r="104" spans="1:33" hidden="1">
      <c r="A104" s="17">
        <v>45656</v>
      </c>
      <c r="B104" s="5" t="s">
        <v>45</v>
      </c>
      <c r="C104" t="s">
        <v>125</v>
      </c>
      <c r="D104">
        <v>23050</v>
      </c>
      <c r="E104" t="s">
        <v>127</v>
      </c>
      <c r="F104">
        <v>9.4552999999999994</v>
      </c>
    </row>
    <row r="105" spans="1:33" hidden="1">
      <c r="A105" s="17">
        <v>45652</v>
      </c>
      <c r="B105" t="s">
        <v>113</v>
      </c>
      <c r="C105" t="s">
        <v>125</v>
      </c>
      <c r="D105">
        <v>23050</v>
      </c>
      <c r="E105" t="s">
        <v>127</v>
      </c>
      <c r="F105">
        <v>9.5305999999999997</v>
      </c>
    </row>
    <row r="106" spans="1:33" hidden="1">
      <c r="A106" s="17">
        <v>45652</v>
      </c>
      <c r="B106" s="5" t="s">
        <v>22</v>
      </c>
      <c r="C106" t="s">
        <v>125</v>
      </c>
      <c r="D106">
        <v>23050</v>
      </c>
      <c r="E106" t="s">
        <v>127</v>
      </c>
      <c r="F106">
        <v>28.242599999999999</v>
      </c>
    </row>
    <row r="107" spans="1:33" hidden="1">
      <c r="A107" s="17">
        <v>45653</v>
      </c>
      <c r="B107" t="s">
        <v>50</v>
      </c>
      <c r="C107" t="s">
        <v>125</v>
      </c>
      <c r="D107">
        <v>23050</v>
      </c>
      <c r="E107" t="s">
        <v>127</v>
      </c>
      <c r="F107">
        <v>9.8816000000000006</v>
      </c>
    </row>
    <row r="108" spans="1:33" hidden="1">
      <c r="A108" s="17">
        <v>45652</v>
      </c>
      <c r="B108" s="5" t="s">
        <v>106</v>
      </c>
      <c r="C108" t="s">
        <v>125</v>
      </c>
      <c r="D108">
        <v>34575</v>
      </c>
      <c r="E108" t="s">
        <v>127</v>
      </c>
      <c r="F108">
        <v>18.975200000000001</v>
      </c>
    </row>
    <row r="109" spans="1:33" hidden="1">
      <c r="A109" s="17">
        <v>45665</v>
      </c>
      <c r="B109" s="5" t="s">
        <v>117</v>
      </c>
      <c r="C109" t="s">
        <v>125</v>
      </c>
      <c r="D109">
        <v>10000</v>
      </c>
      <c r="E109" t="s">
        <v>109</v>
      </c>
      <c r="F109">
        <v>25.570499999999999</v>
      </c>
    </row>
    <row r="110" spans="1:33" hidden="1">
      <c r="A110" s="17">
        <v>45670</v>
      </c>
      <c r="B110" s="5" t="s">
        <v>161</v>
      </c>
      <c r="C110" t="s">
        <v>162</v>
      </c>
      <c r="D110">
        <v>2860.99</v>
      </c>
      <c r="E110" t="s">
        <v>109</v>
      </c>
      <c r="F110">
        <v>11.783799999999999</v>
      </c>
    </row>
    <row r="111" spans="1:33" hidden="1">
      <c r="A111" s="17">
        <v>45673</v>
      </c>
      <c r="B111" s="5" t="s">
        <v>117</v>
      </c>
      <c r="C111" t="s">
        <v>125</v>
      </c>
      <c r="D111">
        <v>2860.99</v>
      </c>
      <c r="E111" t="s">
        <v>109</v>
      </c>
      <c r="F111">
        <v>25.441199999999998</v>
      </c>
    </row>
    <row r="112" spans="1:33" hidden="1">
      <c r="A112" s="17">
        <v>45678</v>
      </c>
      <c r="B112" s="5" t="s">
        <v>159</v>
      </c>
      <c r="C112" t="s">
        <v>125</v>
      </c>
      <c r="D112">
        <v>4000</v>
      </c>
      <c r="E112" t="s">
        <v>109</v>
      </c>
      <c r="F112">
        <v>12.5952</v>
      </c>
    </row>
    <row r="113" spans="1:6" hidden="1">
      <c r="A113" s="17">
        <v>45678</v>
      </c>
      <c r="B113" s="5" t="s">
        <v>160</v>
      </c>
      <c r="C113" t="s">
        <v>125</v>
      </c>
      <c r="D113">
        <v>4000</v>
      </c>
      <c r="E113" t="s">
        <v>109</v>
      </c>
      <c r="F113">
        <v>11.486700000000001</v>
      </c>
    </row>
    <row r="114" spans="1:6" hidden="1">
      <c r="A114" s="17">
        <v>45670</v>
      </c>
      <c r="B114" s="5" t="s">
        <v>114</v>
      </c>
      <c r="C114" t="s">
        <v>162</v>
      </c>
      <c r="D114">
        <v>25896.97</v>
      </c>
      <c r="E114" t="s">
        <v>109</v>
      </c>
      <c r="F114">
        <v>19.627700000000001</v>
      </c>
    </row>
    <row r="115" spans="1:6" hidden="1">
      <c r="A115" s="17">
        <v>45670</v>
      </c>
      <c r="B115" s="5" t="s">
        <v>156</v>
      </c>
      <c r="C115" t="s">
        <v>125</v>
      </c>
      <c r="D115">
        <v>25896.97</v>
      </c>
      <c r="E115" t="s">
        <v>109</v>
      </c>
      <c r="F115">
        <v>15.3393</v>
      </c>
    </row>
    <row r="116" spans="1:6" hidden="1">
      <c r="A116" s="17">
        <v>45677</v>
      </c>
      <c r="B116" s="5" t="s">
        <v>11</v>
      </c>
      <c r="C116" t="s">
        <v>162</v>
      </c>
      <c r="D116">
        <v>13814.16</v>
      </c>
      <c r="E116" t="s">
        <v>109</v>
      </c>
      <c r="F116">
        <f>D116/407.6682</f>
        <v>33.885792416479873</v>
      </c>
    </row>
    <row r="117" spans="1:6" hidden="1">
      <c r="A117" s="17">
        <v>45677</v>
      </c>
      <c r="B117" s="5" t="s">
        <v>157</v>
      </c>
      <c r="C117" t="s">
        <v>125</v>
      </c>
      <c r="D117">
        <v>13814.16</v>
      </c>
      <c r="E117" t="s">
        <v>109</v>
      </c>
      <c r="F117">
        <f>D117/785.0426</f>
        <v>17.596701121697091</v>
      </c>
    </row>
    <row r="118" spans="1:6" hidden="1">
      <c r="A118" s="17">
        <v>45677</v>
      </c>
      <c r="B118" s="5" t="s">
        <v>12</v>
      </c>
      <c r="C118" t="s">
        <v>162</v>
      </c>
      <c r="D118">
        <v>300000</v>
      </c>
      <c r="E118" t="s">
        <v>109</v>
      </c>
      <c r="F118">
        <f>D118/4525.6855</f>
        <v>66.288300413274413</v>
      </c>
    </row>
    <row r="119" spans="1:6" hidden="1">
      <c r="A119" s="17">
        <v>45677</v>
      </c>
      <c r="B119" s="5" t="s">
        <v>158</v>
      </c>
      <c r="C119" t="s">
        <v>125</v>
      </c>
      <c r="D119">
        <v>300000</v>
      </c>
      <c r="E119" t="s">
        <v>109</v>
      </c>
      <c r="F119">
        <f>D119/26788.106</f>
        <v>11.19900003382098</v>
      </c>
    </row>
    <row r="120" spans="1:6" hidden="1">
      <c r="A120" s="17">
        <v>45670</v>
      </c>
      <c r="B120" s="5" t="s">
        <v>163</v>
      </c>
      <c r="C120" t="s">
        <v>162</v>
      </c>
      <c r="D120">
        <v>46986.8</v>
      </c>
      <c r="E120" t="s">
        <v>109</v>
      </c>
      <c r="F120">
        <v>13.772500000000001</v>
      </c>
    </row>
    <row r="121" spans="1:6" hidden="1">
      <c r="A121" s="17">
        <v>45670</v>
      </c>
      <c r="B121" s="5" t="s">
        <v>164</v>
      </c>
      <c r="C121" t="s">
        <v>125</v>
      </c>
      <c r="D121">
        <v>46986.8</v>
      </c>
      <c r="E121" t="s">
        <v>109</v>
      </c>
      <c r="F121">
        <v>12.4336</v>
      </c>
    </row>
    <row r="122" spans="1:6" hidden="1">
      <c r="A122" s="17">
        <v>45670</v>
      </c>
      <c r="B122" s="5" t="s">
        <v>165</v>
      </c>
      <c r="C122" t="s">
        <v>162</v>
      </c>
      <c r="D122">
        <v>24732.2</v>
      </c>
      <c r="E122" t="s">
        <v>109</v>
      </c>
      <c r="F122">
        <v>14.2324</v>
      </c>
    </row>
    <row r="123" spans="1:6" hidden="1">
      <c r="A123" s="17">
        <v>45670</v>
      </c>
      <c r="B123" s="5" t="s">
        <v>155</v>
      </c>
      <c r="C123" t="s">
        <v>125</v>
      </c>
      <c r="D123">
        <v>24732.2</v>
      </c>
      <c r="E123" t="s">
        <v>109</v>
      </c>
      <c r="F123">
        <v>19.509399999999999</v>
      </c>
    </row>
    <row r="124" spans="1:6" hidden="1">
      <c r="A124" s="17">
        <v>45679</v>
      </c>
      <c r="B124" s="5" t="s">
        <v>25</v>
      </c>
      <c r="C124" t="s">
        <v>162</v>
      </c>
      <c r="D124">
        <v>2350.65</v>
      </c>
      <c r="E124" t="s">
        <v>109</v>
      </c>
      <c r="F124">
        <v>4.7012999999999998</v>
      </c>
    </row>
    <row r="125" spans="1:6" hidden="1">
      <c r="A125" s="17">
        <v>45679</v>
      </c>
      <c r="B125" s="5" t="s">
        <v>155</v>
      </c>
      <c r="C125" t="s">
        <v>125</v>
      </c>
      <c r="D125">
        <v>2350.65</v>
      </c>
      <c r="E125" t="s">
        <v>109</v>
      </c>
      <c r="F125">
        <v>19.900099999999998</v>
      </c>
    </row>
    <row r="126" spans="1:6" hidden="1">
      <c r="A126" s="17">
        <v>45680</v>
      </c>
      <c r="B126" s="5" t="s">
        <v>26</v>
      </c>
      <c r="C126" t="s">
        <v>162</v>
      </c>
      <c r="D126">
        <v>3700.65</v>
      </c>
      <c r="E126" t="s">
        <v>109</v>
      </c>
      <c r="F126">
        <v>7.4013</v>
      </c>
    </row>
    <row r="127" spans="1:6" hidden="1">
      <c r="A127" s="17">
        <v>45680</v>
      </c>
      <c r="B127" s="5" t="s">
        <v>155</v>
      </c>
      <c r="C127" t="s">
        <v>125</v>
      </c>
      <c r="D127">
        <v>3700.65</v>
      </c>
      <c r="E127" t="s">
        <v>109</v>
      </c>
      <c r="F127">
        <v>19.928799999999999</v>
      </c>
    </row>
    <row r="128" spans="1:6" hidden="1">
      <c r="A128" s="17">
        <v>45673</v>
      </c>
      <c r="B128" s="5" t="s">
        <v>48</v>
      </c>
      <c r="C128" t="s">
        <v>162</v>
      </c>
      <c r="D128">
        <v>5267.02</v>
      </c>
      <c r="E128" t="s">
        <v>109</v>
      </c>
    </row>
    <row r="129" spans="1:6" hidden="1">
      <c r="A129" s="17">
        <v>45673</v>
      </c>
      <c r="B129" s="5" t="s">
        <v>45</v>
      </c>
      <c r="C129" t="s">
        <v>125</v>
      </c>
      <c r="D129">
        <v>5267.02</v>
      </c>
      <c r="E129" t="s">
        <v>109</v>
      </c>
      <c r="F129">
        <v>9.1867000000000001</v>
      </c>
    </row>
    <row r="130" spans="1:6" hidden="1">
      <c r="A130" s="17">
        <v>45670</v>
      </c>
      <c r="B130" s="5" t="s">
        <v>166</v>
      </c>
      <c r="C130" t="s">
        <v>162</v>
      </c>
      <c r="D130">
        <v>286658.8</v>
      </c>
      <c r="E130" t="s">
        <v>109</v>
      </c>
      <c r="F130">
        <f>D130/4000</f>
        <v>71.664699999999996</v>
      </c>
    </row>
    <row r="131" spans="1:6" hidden="1">
      <c r="A131" s="17">
        <v>45677</v>
      </c>
      <c r="B131" s="5" t="s">
        <v>166</v>
      </c>
      <c r="C131" t="s">
        <v>162</v>
      </c>
      <c r="D131">
        <v>425632.2</v>
      </c>
      <c r="E131" t="s">
        <v>109</v>
      </c>
      <c r="F131">
        <f>D131/6000</f>
        <v>70.938699999999997</v>
      </c>
    </row>
    <row r="132" spans="1:6" hidden="1">
      <c r="A132" s="17">
        <v>45670</v>
      </c>
      <c r="B132" s="5" t="s">
        <v>154</v>
      </c>
      <c r="C132" t="s">
        <v>125</v>
      </c>
      <c r="D132">
        <v>286658.8</v>
      </c>
      <c r="E132" t="s">
        <v>109</v>
      </c>
      <c r="F132">
        <v>19.452200000000001</v>
      </c>
    </row>
    <row r="133" spans="1:6" hidden="1">
      <c r="A133" s="17">
        <v>45677</v>
      </c>
      <c r="B133" s="5" t="s">
        <v>154</v>
      </c>
      <c r="C133" t="s">
        <v>125</v>
      </c>
      <c r="D133">
        <v>425632.2</v>
      </c>
      <c r="E133" t="s">
        <v>109</v>
      </c>
      <c r="F133">
        <v>19.456099999999999</v>
      </c>
    </row>
    <row r="134" spans="1:6" hidden="1">
      <c r="A134" s="17">
        <v>45713</v>
      </c>
      <c r="B134" s="5" t="s">
        <v>22</v>
      </c>
      <c r="C134" t="s">
        <v>162</v>
      </c>
      <c r="D134">
        <v>40309.480000000003</v>
      </c>
      <c r="E134" t="s">
        <v>109</v>
      </c>
      <c r="F134">
        <v>26.947099999999999</v>
      </c>
    </row>
    <row r="135" spans="1:6" hidden="1">
      <c r="A135" s="17">
        <v>45715</v>
      </c>
      <c r="B135" s="5" t="s">
        <v>25</v>
      </c>
      <c r="C135" t="s">
        <v>125</v>
      </c>
      <c r="D135">
        <v>40309.480000000003</v>
      </c>
      <c r="E135" t="s">
        <v>109</v>
      </c>
      <c r="F135">
        <v>5.3704000000000001</v>
      </c>
    </row>
    <row r="136" spans="1:6" hidden="1">
      <c r="A136" s="17">
        <v>45736</v>
      </c>
      <c r="B136" s="5" t="s">
        <v>117</v>
      </c>
      <c r="C136" t="s">
        <v>162</v>
      </c>
      <c r="D136">
        <v>93017.600000000006</v>
      </c>
      <c r="E136" t="s">
        <v>109</v>
      </c>
      <c r="F136">
        <v>23.2544</v>
      </c>
    </row>
    <row r="137" spans="1:6" hidden="1">
      <c r="A137" s="17">
        <v>45735</v>
      </c>
      <c r="B137" s="5" t="s">
        <v>117</v>
      </c>
      <c r="C137" t="s">
        <v>162</v>
      </c>
      <c r="D137">
        <v>2621.87</v>
      </c>
      <c r="E137" t="s">
        <v>109</v>
      </c>
      <c r="F137">
        <v>23.314900000000002</v>
      </c>
    </row>
    <row r="138" spans="1:6" hidden="1">
      <c r="A138" s="17">
        <v>45740</v>
      </c>
      <c r="B138" s="5" t="s">
        <v>159</v>
      </c>
      <c r="C138" t="s">
        <v>125</v>
      </c>
      <c r="D138">
        <v>2621.87</v>
      </c>
      <c r="E138" t="s">
        <v>109</v>
      </c>
      <c r="F138">
        <v>15.0312</v>
      </c>
    </row>
    <row r="139" spans="1:6" hidden="1">
      <c r="A139" s="17">
        <v>45748</v>
      </c>
      <c r="B139" s="5" t="s">
        <v>46</v>
      </c>
      <c r="C139" t="s">
        <v>162</v>
      </c>
      <c r="D139">
        <v>3210.16</v>
      </c>
      <c r="E139" t="s">
        <v>109</v>
      </c>
      <c r="F139">
        <v>12.979699999999999</v>
      </c>
    </row>
    <row r="140" spans="1:6" hidden="1">
      <c r="A140" s="17">
        <v>45749</v>
      </c>
      <c r="B140" s="5" t="s">
        <v>167</v>
      </c>
      <c r="C140" t="s">
        <v>125</v>
      </c>
      <c r="D140">
        <v>3210.16</v>
      </c>
      <c r="E140" t="s">
        <v>109</v>
      </c>
      <c r="F140">
        <v>15.1655</v>
      </c>
    </row>
    <row r="141" spans="1:6" hidden="1">
      <c r="A141" s="17">
        <v>45747</v>
      </c>
      <c r="B141" s="5" t="s">
        <v>47</v>
      </c>
      <c r="C141" t="s">
        <v>162</v>
      </c>
      <c r="D141">
        <v>103101.6</v>
      </c>
      <c r="E141" t="s">
        <v>109</v>
      </c>
      <c r="F141">
        <v>12.887700000000001</v>
      </c>
    </row>
    <row r="142" spans="1:6" hidden="1">
      <c r="A142" s="17">
        <v>45750</v>
      </c>
      <c r="B142" s="5" t="s">
        <v>168</v>
      </c>
      <c r="C142" t="s">
        <v>125</v>
      </c>
      <c r="D142">
        <v>103101.6</v>
      </c>
      <c r="E142" t="s">
        <v>109</v>
      </c>
      <c r="F142">
        <v>19.8705</v>
      </c>
    </row>
    <row r="143" spans="1:6" hidden="1">
      <c r="A143" s="17">
        <v>45763</v>
      </c>
      <c r="B143" s="5" t="s">
        <v>179</v>
      </c>
      <c r="C143" t="s">
        <v>162</v>
      </c>
      <c r="D143">
        <v>20000</v>
      </c>
      <c r="E143" t="s">
        <v>109</v>
      </c>
      <c r="F143">
        <v>8.1958000000000002</v>
      </c>
    </row>
    <row r="144" spans="1:6" hidden="1">
      <c r="A144" s="17">
        <v>45763</v>
      </c>
      <c r="B144" s="5" t="s">
        <v>176</v>
      </c>
      <c r="C144" t="s">
        <v>125</v>
      </c>
      <c r="D144">
        <v>20000</v>
      </c>
      <c r="E144" t="s">
        <v>109</v>
      </c>
      <c r="F144">
        <v>23.546600000000002</v>
      </c>
    </row>
    <row r="145" spans="1:6" hidden="1">
      <c r="A145" s="17">
        <v>45763</v>
      </c>
      <c r="B145" s="5" t="s">
        <v>173</v>
      </c>
      <c r="C145" t="s">
        <v>162</v>
      </c>
      <c r="D145">
        <v>10000</v>
      </c>
      <c r="E145" t="s">
        <v>109</v>
      </c>
      <c r="F145">
        <v>8.5252999999999997</v>
      </c>
    </row>
    <row r="146" spans="1:6" hidden="1">
      <c r="A146" s="17">
        <v>45764</v>
      </c>
      <c r="B146" s="5" t="s">
        <v>176</v>
      </c>
      <c r="C146" t="s">
        <v>125</v>
      </c>
      <c r="D146">
        <v>10000</v>
      </c>
      <c r="E146" t="s">
        <v>109</v>
      </c>
      <c r="F146">
        <v>23.7104</v>
      </c>
    </row>
    <row r="147" spans="1:6" hidden="1">
      <c r="A147" s="17">
        <v>45763</v>
      </c>
      <c r="B147" s="5" t="s">
        <v>178</v>
      </c>
      <c r="C147" t="s">
        <v>162</v>
      </c>
      <c r="D147">
        <v>40000</v>
      </c>
      <c r="E147" t="s">
        <v>109</v>
      </c>
      <c r="F147">
        <v>8.8882999999999992</v>
      </c>
    </row>
    <row r="148" spans="1:6" hidden="1">
      <c r="A148" s="17">
        <v>45763</v>
      </c>
      <c r="B148" s="5" t="s">
        <v>180</v>
      </c>
      <c r="C148" t="s">
        <v>162</v>
      </c>
      <c r="D148">
        <v>80000</v>
      </c>
      <c r="E148" t="s">
        <v>109</v>
      </c>
      <c r="F148">
        <v>12.4716</v>
      </c>
    </row>
    <row r="149" spans="1:6" hidden="1">
      <c r="A149" s="17">
        <v>45770</v>
      </c>
      <c r="B149" s="5" t="s">
        <v>168</v>
      </c>
      <c r="C149" t="s">
        <v>125</v>
      </c>
      <c r="D149">
        <v>40000</v>
      </c>
      <c r="E149" t="s">
        <v>109</v>
      </c>
      <c r="F149">
        <v>20.9129</v>
      </c>
    </row>
    <row r="150" spans="1:6" hidden="1">
      <c r="A150" s="17">
        <v>45770</v>
      </c>
      <c r="B150" s="5" t="s">
        <v>168</v>
      </c>
      <c r="C150" t="s">
        <v>125</v>
      </c>
      <c r="D150">
        <v>80000</v>
      </c>
      <c r="E150" t="s">
        <v>109</v>
      </c>
      <c r="F150">
        <v>20.9129</v>
      </c>
    </row>
    <row r="151" spans="1:6" hidden="1">
      <c r="A151" s="17">
        <v>45775</v>
      </c>
      <c r="B151" s="5" t="s">
        <v>159</v>
      </c>
      <c r="C151" t="s">
        <v>162</v>
      </c>
      <c r="D151">
        <v>3554.69</v>
      </c>
      <c r="E151" t="s">
        <v>109</v>
      </c>
      <c r="F151">
        <v>13.5</v>
      </c>
    </row>
    <row r="152" spans="1:6" hidden="1">
      <c r="A152" s="17">
        <v>45779</v>
      </c>
      <c r="B152" s="5" t="s">
        <v>183</v>
      </c>
      <c r="C152" t="s">
        <v>125</v>
      </c>
      <c r="D152">
        <v>3554.69</v>
      </c>
      <c r="E152" t="s">
        <v>109</v>
      </c>
      <c r="F152">
        <v>10.332100000000001</v>
      </c>
    </row>
    <row r="153" spans="1:6" hidden="1">
      <c r="A153" s="17">
        <v>45796</v>
      </c>
      <c r="B153" s="5" t="s">
        <v>187</v>
      </c>
      <c r="C153" t="s">
        <v>162</v>
      </c>
      <c r="D153">
        <v>266251.2</v>
      </c>
      <c r="E153" t="s">
        <v>109</v>
      </c>
      <c r="F153">
        <v>22.1876</v>
      </c>
    </row>
    <row r="154" spans="1:6" hidden="1">
      <c r="A154" s="17">
        <v>45798</v>
      </c>
      <c r="B154" s="5" t="s">
        <v>188</v>
      </c>
      <c r="C154" t="s">
        <v>125</v>
      </c>
      <c r="D154">
        <v>266251.2</v>
      </c>
      <c r="E154" t="s">
        <v>109</v>
      </c>
      <c r="F154">
        <v>26.645</v>
      </c>
    </row>
    <row r="155" spans="1:6" hidden="1">
      <c r="A155" s="17">
        <v>45818</v>
      </c>
      <c r="B155" s="5" t="s">
        <v>164</v>
      </c>
      <c r="C155" t="s">
        <v>162</v>
      </c>
      <c r="D155">
        <v>42191.98</v>
      </c>
      <c r="E155" t="s">
        <v>109</v>
      </c>
      <c r="F155">
        <v>11.1648</v>
      </c>
    </row>
    <row r="156" spans="1:6" hidden="1">
      <c r="A156" s="17">
        <v>45818</v>
      </c>
      <c r="B156" s="5" t="s">
        <v>189</v>
      </c>
      <c r="C156" t="s">
        <v>125</v>
      </c>
      <c r="D156">
        <v>42191.98</v>
      </c>
      <c r="E156" t="s">
        <v>109</v>
      </c>
      <c r="F156">
        <v>9.7053999999999991</v>
      </c>
    </row>
    <row r="157" spans="1:6" hidden="1">
      <c r="A157" s="17">
        <v>45821</v>
      </c>
      <c r="B157" s="5" t="s">
        <v>103</v>
      </c>
      <c r="C157" t="s">
        <v>162</v>
      </c>
      <c r="D157">
        <v>115258.68</v>
      </c>
      <c r="E157" t="s">
        <v>109</v>
      </c>
      <c r="F157">
        <v>19.9237</v>
      </c>
    </row>
    <row r="158" spans="1:6" hidden="1">
      <c r="A158" s="17">
        <v>45821</v>
      </c>
      <c r="B158" s="5" t="s">
        <v>190</v>
      </c>
      <c r="C158" t="s">
        <v>125</v>
      </c>
      <c r="D158">
        <v>115258.68</v>
      </c>
      <c r="E158" t="s">
        <v>109</v>
      </c>
      <c r="F158">
        <v>9.5205000000000002</v>
      </c>
    </row>
    <row r="159" spans="1:6" hidden="1">
      <c r="A159" s="17">
        <v>45869</v>
      </c>
      <c r="B159" s="5" t="s">
        <v>187</v>
      </c>
      <c r="C159" t="s">
        <v>162</v>
      </c>
      <c r="D159">
        <v>224138</v>
      </c>
      <c r="E159" t="s">
        <v>109</v>
      </c>
      <c r="F159">
        <v>22.413799999999998</v>
      </c>
    </row>
    <row r="160" spans="1:6" hidden="1">
      <c r="A160" s="17">
        <v>45873</v>
      </c>
      <c r="B160" s="5" t="s">
        <v>188</v>
      </c>
      <c r="C160" t="s">
        <v>125</v>
      </c>
      <c r="D160">
        <v>224318</v>
      </c>
      <c r="E160" t="s">
        <v>109</v>
      </c>
      <c r="F160">
        <v>27.670200000000001</v>
      </c>
    </row>
    <row r="161" spans="1:6" hidden="1">
      <c r="A161" s="17">
        <v>45887</v>
      </c>
      <c r="B161" s="5" t="s">
        <v>168</v>
      </c>
      <c r="C161" t="s">
        <v>162</v>
      </c>
      <c r="D161">
        <v>100000</v>
      </c>
      <c r="E161" t="s">
        <v>109</v>
      </c>
      <c r="F161">
        <v>20.665199999999999</v>
      </c>
    </row>
    <row r="162" spans="1:6" hidden="1">
      <c r="A162" s="17">
        <v>45889</v>
      </c>
      <c r="B162" s="5" t="s">
        <v>47</v>
      </c>
      <c r="C162" t="s">
        <v>125</v>
      </c>
      <c r="D162">
        <v>100000</v>
      </c>
      <c r="E162" t="s">
        <v>109</v>
      </c>
      <c r="F162">
        <v>16.386299999999999</v>
      </c>
    </row>
    <row r="163" spans="1:6" hidden="1">
      <c r="A163" s="17">
        <v>45918</v>
      </c>
      <c r="B163" s="5" t="s">
        <v>144</v>
      </c>
      <c r="C163" t="s">
        <v>162</v>
      </c>
      <c r="D163">
        <v>69726.899999999994</v>
      </c>
      <c r="E163" t="s">
        <v>109</v>
      </c>
      <c r="F163">
        <f>D163/4069.2199</f>
        <v>17.135200778901133</v>
      </c>
    </row>
    <row r="164" spans="1:6" hidden="1">
      <c r="A164" s="17">
        <v>45918</v>
      </c>
      <c r="B164" s="5" t="s">
        <v>178</v>
      </c>
      <c r="C164" t="s">
        <v>125</v>
      </c>
      <c r="D164">
        <v>69726.899999999994</v>
      </c>
      <c r="E164" t="s">
        <v>109</v>
      </c>
      <c r="F164">
        <v>10.8931</v>
      </c>
    </row>
    <row r="165" spans="1:6" hidden="1">
      <c r="A165" s="17">
        <v>45944</v>
      </c>
      <c r="B165" s="5" t="s">
        <v>144</v>
      </c>
      <c r="C165" t="s">
        <v>162</v>
      </c>
      <c r="D165">
        <v>120000</v>
      </c>
      <c r="E165" t="s">
        <v>109</v>
      </c>
      <c r="F165">
        <v>16.680900000000001</v>
      </c>
    </row>
    <row r="166" spans="1:6" hidden="1">
      <c r="A166" s="17">
        <v>45947</v>
      </c>
      <c r="B166" s="5" t="s">
        <v>168</v>
      </c>
      <c r="C166" t="s">
        <v>125</v>
      </c>
      <c r="D166">
        <v>120000</v>
      </c>
      <c r="E166" t="s">
        <v>109</v>
      </c>
      <c r="F166">
        <v>26.657399999999999</v>
      </c>
    </row>
    <row r="167" spans="1:6" hidden="1">
      <c r="A167" s="17">
        <v>45964</v>
      </c>
      <c r="B167" s="5" t="s">
        <v>144</v>
      </c>
      <c r="C167" t="s">
        <v>162</v>
      </c>
      <c r="D167">
        <v>150000</v>
      </c>
      <c r="E167" t="s">
        <v>109</v>
      </c>
      <c r="F167">
        <v>16.273900000000001</v>
      </c>
    </row>
    <row r="168" spans="1:6" hidden="1">
      <c r="A168" s="17">
        <v>45967</v>
      </c>
      <c r="B168" s="5" t="s">
        <v>191</v>
      </c>
      <c r="C168" t="s">
        <v>125</v>
      </c>
      <c r="D168">
        <v>150000</v>
      </c>
      <c r="E168" t="s">
        <v>109</v>
      </c>
      <c r="F168">
        <v>11.815799999999999</v>
      </c>
    </row>
    <row r="169" spans="1:6">
      <c r="A169" s="17">
        <v>46013</v>
      </c>
      <c r="B169" s="5" t="s">
        <v>192</v>
      </c>
      <c r="C169" t="s">
        <v>125</v>
      </c>
      <c r="D169">
        <v>80000</v>
      </c>
      <c r="E169" t="s">
        <v>127</v>
      </c>
      <c r="F169">
        <v>7.6195000000000004</v>
      </c>
    </row>
    <row r="170" spans="1:6">
      <c r="A170" s="17">
        <v>46013</v>
      </c>
      <c r="B170" s="5" t="s">
        <v>193</v>
      </c>
      <c r="C170" t="s">
        <v>125</v>
      </c>
      <c r="D170">
        <v>60000</v>
      </c>
      <c r="E170" t="s">
        <v>127</v>
      </c>
      <c r="F170">
        <v>18.285799999999998</v>
      </c>
    </row>
    <row r="171" spans="1:6">
      <c r="A171" s="17">
        <v>46013</v>
      </c>
      <c r="B171" s="5" t="s">
        <v>196</v>
      </c>
      <c r="C171" t="s">
        <v>125</v>
      </c>
      <c r="D171">
        <v>100000</v>
      </c>
      <c r="E171" t="s">
        <v>127</v>
      </c>
      <c r="F171">
        <v>23.603400000000001</v>
      </c>
    </row>
    <row r="172" spans="1:6">
      <c r="A172" s="17">
        <v>46013</v>
      </c>
      <c r="B172" s="5" t="s">
        <v>197</v>
      </c>
      <c r="C172" t="s">
        <v>125</v>
      </c>
      <c r="D172">
        <v>100000</v>
      </c>
      <c r="E172" t="s">
        <v>127</v>
      </c>
      <c r="F172">
        <v>15.714399999999999</v>
      </c>
    </row>
    <row r="173" spans="1:6">
      <c r="A173" s="17">
        <v>46014</v>
      </c>
      <c r="B173" s="5" t="s">
        <v>200</v>
      </c>
      <c r="C173" t="s">
        <v>125</v>
      </c>
      <c r="D173">
        <v>50000</v>
      </c>
      <c r="E173" t="s">
        <v>201</v>
      </c>
      <c r="F173">
        <v>10.252700000000001</v>
      </c>
    </row>
    <row r="174" spans="1:6">
      <c r="A174" s="17">
        <v>46014</v>
      </c>
      <c r="B174" s="5" t="s">
        <v>199</v>
      </c>
      <c r="C174" t="s">
        <v>125</v>
      </c>
      <c r="D174">
        <v>60000</v>
      </c>
      <c r="E174" t="s">
        <v>127</v>
      </c>
      <c r="F174">
        <v>26.396899999999999</v>
      </c>
    </row>
    <row r="175" spans="1:6">
      <c r="A175" s="17">
        <v>46021</v>
      </c>
      <c r="B175" s="5" t="s">
        <v>200</v>
      </c>
      <c r="C175" t="s">
        <v>125</v>
      </c>
      <c r="D175">
        <v>50000</v>
      </c>
      <c r="E175" t="s">
        <v>201</v>
      </c>
      <c r="F175">
        <v>10.2103</v>
      </c>
    </row>
    <row r="176" spans="1:6">
      <c r="A176" s="17">
        <v>46048</v>
      </c>
      <c r="B176" s="5" t="s">
        <v>191</v>
      </c>
      <c r="C176" t="s">
        <v>162</v>
      </c>
      <c r="D176">
        <v>23697.4</v>
      </c>
      <c r="E176" t="s">
        <v>109</v>
      </c>
      <c r="F176">
        <v>11.848699999999999</v>
      </c>
    </row>
    <row r="177" spans="1:6">
      <c r="A177" s="17">
        <v>46048</v>
      </c>
      <c r="B177" s="5" t="s">
        <v>168</v>
      </c>
      <c r="C177" t="s">
        <v>162</v>
      </c>
      <c r="D177">
        <v>60833.599999999999</v>
      </c>
      <c r="E177" t="s">
        <v>109</v>
      </c>
      <c r="F177">
        <v>30.416799999999999</v>
      </c>
    </row>
    <row r="178" spans="1:6">
      <c r="A178" s="17">
        <v>46049</v>
      </c>
      <c r="B178" s="5" t="s">
        <v>144</v>
      </c>
      <c r="C178" t="s">
        <v>125</v>
      </c>
      <c r="D178">
        <v>23697.4</v>
      </c>
      <c r="E178" t="s">
        <v>109</v>
      </c>
      <c r="F178">
        <v>16.080500000000001</v>
      </c>
    </row>
    <row r="179" spans="1:6">
      <c r="A179" s="17">
        <v>46050</v>
      </c>
      <c r="B179" s="5" t="s">
        <v>144</v>
      </c>
      <c r="C179" t="s">
        <v>125</v>
      </c>
      <c r="D179">
        <v>60833.599999999999</v>
      </c>
      <c r="E179" t="s">
        <v>109</v>
      </c>
      <c r="F179">
        <v>16.022600000000001</v>
      </c>
    </row>
    <row r="180" spans="1:6">
      <c r="A180" s="17">
        <v>46055</v>
      </c>
      <c r="B180" s="5" t="s">
        <v>191</v>
      </c>
      <c r="C180" t="s">
        <v>162</v>
      </c>
      <c r="D180">
        <v>35526.6</v>
      </c>
      <c r="E180" t="s">
        <v>109</v>
      </c>
      <c r="F180">
        <v>11.8422</v>
      </c>
    </row>
    <row r="181" spans="1:6">
      <c r="A181" s="17">
        <v>46055</v>
      </c>
      <c r="B181" s="5" t="s">
        <v>191</v>
      </c>
      <c r="C181" t="s">
        <v>162</v>
      </c>
      <c r="D181">
        <v>35526.6</v>
      </c>
      <c r="E181" t="s">
        <v>109</v>
      </c>
      <c r="F181">
        <v>11.8422</v>
      </c>
    </row>
    <row r="182" spans="1:6">
      <c r="A182" s="17">
        <v>46056</v>
      </c>
      <c r="B182" s="5" t="s">
        <v>144</v>
      </c>
      <c r="C182" t="s">
        <v>125</v>
      </c>
      <c r="D182">
        <v>35526.6</v>
      </c>
      <c r="E182" t="s">
        <v>109</v>
      </c>
      <c r="F182">
        <v>15.416700000000001</v>
      </c>
    </row>
    <row r="183" spans="1:6">
      <c r="A183" s="17">
        <v>46056</v>
      </c>
      <c r="B183" s="5" t="s">
        <v>168</v>
      </c>
      <c r="C183" t="s">
        <v>125</v>
      </c>
      <c r="D183">
        <v>35526.6</v>
      </c>
      <c r="E183" t="s">
        <v>109</v>
      </c>
      <c r="F183">
        <v>29.395199999999999</v>
      </c>
    </row>
    <row r="184" spans="1:6">
      <c r="A184" s="17">
        <v>46062</v>
      </c>
      <c r="B184" s="5" t="s">
        <v>191</v>
      </c>
      <c r="C184" t="s">
        <v>162</v>
      </c>
      <c r="D184">
        <v>35582.400000000001</v>
      </c>
      <c r="E184" t="s">
        <v>109</v>
      </c>
      <c r="F184">
        <v>11.860799999999999</v>
      </c>
    </row>
    <row r="185" spans="1:6">
      <c r="A185" s="17">
        <v>46063</v>
      </c>
      <c r="B185" s="5" t="s">
        <v>144</v>
      </c>
      <c r="C185" t="s">
        <v>125</v>
      </c>
      <c r="D185">
        <v>35582.400000000001</v>
      </c>
      <c r="E185" t="s">
        <v>109</v>
      </c>
      <c r="F185">
        <v>15.146699999999999</v>
      </c>
    </row>
    <row r="186" spans="1:6">
      <c r="A186" s="17">
        <v>46072</v>
      </c>
      <c r="B186" s="5" t="s">
        <v>168</v>
      </c>
      <c r="C186" t="s">
        <v>162</v>
      </c>
      <c r="D186">
        <v>29838.2</v>
      </c>
      <c r="E186" t="s">
        <v>109</v>
      </c>
      <c r="F186">
        <v>29.838200000000001</v>
      </c>
    </row>
    <row r="187" spans="1:6">
      <c r="A187" s="17">
        <v>46076</v>
      </c>
      <c r="B187" s="5" t="s">
        <v>144</v>
      </c>
      <c r="C187" t="s">
        <v>125</v>
      </c>
      <c r="D187">
        <v>29838.2</v>
      </c>
      <c r="E187" t="s">
        <v>109</v>
      </c>
      <c r="F187">
        <v>14.8331</v>
      </c>
    </row>
    <row r="188" spans="1:6">
      <c r="A188" s="17">
        <v>46111</v>
      </c>
      <c r="B188" s="5" t="s">
        <v>218</v>
      </c>
      <c r="C188" t="s">
        <v>125</v>
      </c>
      <c r="D188">
        <v>10000</v>
      </c>
      <c r="E188" t="s">
        <v>109</v>
      </c>
      <c r="F188">
        <v>10.6229</v>
      </c>
    </row>
  </sheetData>
  <autoFilter ref="A1:AK173" xr:uid="{D94AB8B4-1021-4CC0-84AD-522E7CC5F1BE}">
    <filterColumn colId="0">
      <filters>
        <dateGroupItem year="2025" dateTimeGrouping="year"/>
      </filters>
    </filterColumn>
    <filterColumn colId="4">
      <filters>
        <filter val="ESG"/>
        <filter val="RMF"/>
      </filters>
    </filterColumn>
  </autoFilter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E4271-5D50-4429-A2C2-C5FB5EC32F1A}">
  <dimension ref="A1:J21"/>
  <sheetViews>
    <sheetView topLeftCell="A7" workbookViewId="0">
      <selection activeCell="D23" sqref="D23"/>
    </sheetView>
  </sheetViews>
  <sheetFormatPr defaultRowHeight="14.5"/>
  <cols>
    <col min="2" max="2" width="14" bestFit="1" customWidth="1"/>
    <col min="4" max="4" width="11.26953125" bestFit="1" customWidth="1"/>
    <col min="5" max="5" width="9.26953125" bestFit="1" customWidth="1"/>
    <col min="6" max="6" width="12.1796875" bestFit="1" customWidth="1"/>
  </cols>
  <sheetData>
    <row r="1" spans="1:10">
      <c r="C1" t="s">
        <v>145</v>
      </c>
      <c r="D1" t="s">
        <v>147</v>
      </c>
      <c r="E1" t="s">
        <v>148</v>
      </c>
      <c r="F1" t="s">
        <v>146</v>
      </c>
      <c r="G1" t="s">
        <v>149</v>
      </c>
    </row>
    <row r="2" spans="1:10">
      <c r="C2">
        <f>33500*12*0.3</f>
        <v>120600</v>
      </c>
      <c r="D2" s="37">
        <f>SUM(D3:D11)</f>
        <v>7.1714531804371193E-2</v>
      </c>
      <c r="E2" s="37">
        <f>SUM(E3:E11)</f>
        <v>1</v>
      </c>
      <c r="F2" s="13">
        <f>SUM(C3:C11)/C2</f>
        <v>1</v>
      </c>
      <c r="G2" s="37"/>
      <c r="I2">
        <f>120000*6+200000*6</f>
        <v>1920000</v>
      </c>
      <c r="J2">
        <f>I2*0.3-100000</f>
        <v>476000</v>
      </c>
    </row>
    <row r="3" spans="1:10">
      <c r="A3" t="s">
        <v>150</v>
      </c>
      <c r="B3" t="s">
        <v>22</v>
      </c>
      <c r="C3">
        <f>$C$2*E3</f>
        <v>14472</v>
      </c>
      <c r="D3" s="37">
        <f>Tracking!AK74</f>
        <v>3.9660752589722346E-3</v>
      </c>
      <c r="E3" s="37">
        <v>0.12</v>
      </c>
      <c r="G3" s="37">
        <f>Tracking!AI74</f>
        <v>1.3928046585158926E-2</v>
      </c>
    </row>
    <row r="4" spans="1:10">
      <c r="A4" t="s">
        <v>150</v>
      </c>
      <c r="B4" t="s">
        <v>50</v>
      </c>
      <c r="C4">
        <f t="shared" ref="C4:C11" si="0">$C$2*E4</f>
        <v>12060</v>
      </c>
      <c r="D4" s="37">
        <f>Tracking!AK3</f>
        <v>5.7439710647184091E-3</v>
      </c>
      <c r="E4" s="37">
        <v>0.1</v>
      </c>
    </row>
    <row r="5" spans="1:10">
      <c r="A5" t="s">
        <v>18</v>
      </c>
      <c r="B5" t="s">
        <v>178</v>
      </c>
      <c r="C5">
        <f t="shared" si="0"/>
        <v>12060</v>
      </c>
      <c r="D5" s="37">
        <f>Tracking!AK34</f>
        <v>4.7866425539320068E-3</v>
      </c>
      <c r="E5" s="37">
        <v>0.1</v>
      </c>
    </row>
    <row r="6" spans="1:10">
      <c r="A6" t="s">
        <v>18</v>
      </c>
      <c r="B6" t="s">
        <v>47</v>
      </c>
      <c r="C6">
        <f t="shared" si="0"/>
        <v>12060</v>
      </c>
      <c r="D6" s="37">
        <f>Tracking!AK21</f>
        <v>2.9592077329769536E-2</v>
      </c>
      <c r="E6" s="37">
        <v>0.1</v>
      </c>
    </row>
    <row r="7" spans="1:10">
      <c r="A7" t="s">
        <v>151</v>
      </c>
      <c r="B7" t="s">
        <v>114</v>
      </c>
      <c r="C7">
        <f t="shared" si="0"/>
        <v>15678</v>
      </c>
      <c r="D7" s="37">
        <f>Tracking!AK9</f>
        <v>3.8293140431456059E-3</v>
      </c>
      <c r="E7" s="37">
        <v>0.13</v>
      </c>
      <c r="G7" s="37">
        <f>Tracking!AI9</f>
        <v>-4.8022168719499946E-3</v>
      </c>
    </row>
    <row r="8" spans="1:10">
      <c r="A8" t="s">
        <v>150</v>
      </c>
      <c r="B8" t="s">
        <v>117</v>
      </c>
      <c r="C8">
        <f t="shared" si="0"/>
        <v>18090</v>
      </c>
      <c r="D8" s="37">
        <f>Tracking!AK5</f>
        <v>6.5645383596781813E-3</v>
      </c>
      <c r="E8" s="37">
        <v>0.15</v>
      </c>
    </row>
    <row r="9" spans="1:10">
      <c r="A9" t="s">
        <v>150</v>
      </c>
      <c r="B9" t="s">
        <v>113</v>
      </c>
      <c r="C9">
        <f t="shared" si="0"/>
        <v>12060</v>
      </c>
      <c r="D9" s="37">
        <f>Tracking!AK8</f>
        <v>6.4277771438515522E-3</v>
      </c>
      <c r="E9" s="37">
        <v>0.1</v>
      </c>
    </row>
    <row r="10" spans="1:10">
      <c r="A10" t="s">
        <v>111</v>
      </c>
      <c r="B10" t="s">
        <v>106</v>
      </c>
      <c r="C10">
        <f t="shared" si="0"/>
        <v>12060</v>
      </c>
      <c r="D10" s="37">
        <f>Tracking!AK2</f>
        <v>6.7012995755048104E-3</v>
      </c>
      <c r="E10" s="37">
        <v>0.1</v>
      </c>
    </row>
    <row r="11" spans="1:10">
      <c r="A11" t="s">
        <v>151</v>
      </c>
      <c r="B11" t="s">
        <v>107</v>
      </c>
      <c r="C11">
        <f t="shared" si="0"/>
        <v>12060</v>
      </c>
      <c r="D11" s="37">
        <f>Tracking!AK4</f>
        <v>4.1028364747988638E-3</v>
      </c>
      <c r="E11" s="37">
        <v>0.1</v>
      </c>
    </row>
    <row r="12" spans="1:10">
      <c r="C12">
        <v>230500</v>
      </c>
      <c r="E12" s="37"/>
    </row>
    <row r="13" spans="1:10">
      <c r="A13" t="s">
        <v>18</v>
      </c>
      <c r="B13" s="42" t="s">
        <v>144</v>
      </c>
      <c r="C13">
        <f>C$12*E13</f>
        <v>69150</v>
      </c>
      <c r="E13" s="37">
        <v>0.3</v>
      </c>
    </row>
    <row r="14" spans="1:10">
      <c r="A14" t="s">
        <v>18</v>
      </c>
      <c r="B14" s="23" t="s">
        <v>47</v>
      </c>
      <c r="C14">
        <f t="shared" ref="C14:C19" si="1">C$12*E14</f>
        <v>34575</v>
      </c>
      <c r="E14" s="37">
        <v>0.15</v>
      </c>
    </row>
    <row r="15" spans="1:10">
      <c r="A15" t="s">
        <v>18</v>
      </c>
      <c r="B15" s="43" t="s">
        <v>45</v>
      </c>
      <c r="C15">
        <f t="shared" si="1"/>
        <v>23050</v>
      </c>
      <c r="E15" s="37">
        <v>0.1</v>
      </c>
    </row>
    <row r="16" spans="1:10">
      <c r="A16" t="s">
        <v>150</v>
      </c>
      <c r="B16" s="42" t="s">
        <v>50</v>
      </c>
      <c r="C16">
        <f t="shared" si="1"/>
        <v>23050</v>
      </c>
      <c r="E16" s="37">
        <v>0.1</v>
      </c>
    </row>
    <row r="17" spans="1:5">
      <c r="A17" t="s">
        <v>150</v>
      </c>
      <c r="B17" s="43" t="s">
        <v>113</v>
      </c>
      <c r="C17">
        <f t="shared" si="1"/>
        <v>23050</v>
      </c>
      <c r="E17" s="37">
        <v>0.1</v>
      </c>
    </row>
    <row r="18" spans="1:5">
      <c r="A18" t="s">
        <v>111</v>
      </c>
      <c r="B18" s="23" t="s">
        <v>106</v>
      </c>
      <c r="C18">
        <f t="shared" si="1"/>
        <v>34575</v>
      </c>
      <c r="E18" s="37">
        <v>0.15</v>
      </c>
    </row>
    <row r="19" spans="1:5">
      <c r="A19" t="s">
        <v>150</v>
      </c>
      <c r="B19" s="43" t="s">
        <v>22</v>
      </c>
      <c r="C19">
        <f t="shared" si="1"/>
        <v>23050</v>
      </c>
      <c r="E19" s="37">
        <v>0.1</v>
      </c>
    </row>
    <row r="21" spans="1:5">
      <c r="A21" t="s">
        <v>150</v>
      </c>
      <c r="B21" s="23" t="s">
        <v>117</v>
      </c>
      <c r="C21">
        <v>50000</v>
      </c>
      <c r="E21" s="3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1C4F3-DBD8-4F14-8777-18B1C147B32D}">
  <dimension ref="A1:AN38"/>
  <sheetViews>
    <sheetView tabSelected="1" zoomScale="83" workbookViewId="0">
      <selection activeCell="N18" sqref="N18"/>
    </sheetView>
  </sheetViews>
  <sheetFormatPr defaultRowHeight="14.5"/>
  <cols>
    <col min="1" max="1" width="16.08984375" bestFit="1" customWidth="1"/>
    <col min="2" max="2" width="9" bestFit="1" customWidth="1"/>
    <col min="3" max="3" width="7.6328125" bestFit="1" customWidth="1"/>
    <col min="4" max="4" width="8.90625" bestFit="1" customWidth="1"/>
    <col min="5" max="5" width="10.1796875" bestFit="1" customWidth="1"/>
    <col min="6" max="8" width="8.54296875" customWidth="1"/>
    <col min="9" max="9" width="9.7265625" bestFit="1" customWidth="1"/>
    <col min="10" max="10" width="12.54296875" bestFit="1" customWidth="1"/>
    <col min="13" max="40" width="12.54296875" bestFit="1" customWidth="1"/>
  </cols>
  <sheetData>
    <row r="1" spans="1:40">
      <c r="B1" t="s">
        <v>14</v>
      </c>
      <c r="C1" t="s">
        <v>18</v>
      </c>
      <c r="D1" t="s">
        <v>169</v>
      </c>
      <c r="E1" t="s">
        <v>170</v>
      </c>
      <c r="F1" t="s">
        <v>150</v>
      </c>
      <c r="G1" t="s">
        <v>111</v>
      </c>
      <c r="I1" s="17">
        <v>46193</v>
      </c>
      <c r="J1" t="s">
        <v>172</v>
      </c>
      <c r="K1" t="s">
        <v>177</v>
      </c>
      <c r="L1" t="s">
        <v>181</v>
      </c>
      <c r="M1" t="s">
        <v>182</v>
      </c>
      <c r="N1" t="s">
        <v>185</v>
      </c>
      <c r="O1" t="s">
        <v>184</v>
      </c>
      <c r="P1" t="s">
        <v>202</v>
      </c>
      <c r="Q1" t="s">
        <v>203</v>
      </c>
      <c r="R1" t="s">
        <v>204</v>
      </c>
      <c r="S1" t="s">
        <v>205</v>
      </c>
      <c r="T1" t="s">
        <v>206</v>
      </c>
      <c r="U1" t="s">
        <v>207</v>
      </c>
      <c r="V1" t="s">
        <v>208</v>
      </c>
      <c r="W1" t="s">
        <v>210</v>
      </c>
      <c r="X1" t="s">
        <v>211</v>
      </c>
      <c r="Y1" t="s">
        <v>212</v>
      </c>
      <c r="Z1" t="s">
        <v>213</v>
      </c>
      <c r="AA1" t="s">
        <v>214</v>
      </c>
      <c r="AB1" t="s">
        <v>217</v>
      </c>
      <c r="AC1" t="s">
        <v>219</v>
      </c>
      <c r="AD1" t="s">
        <v>220</v>
      </c>
      <c r="AE1" t="s">
        <v>221</v>
      </c>
      <c r="AF1" t="s">
        <v>222</v>
      </c>
      <c r="AG1" t="s">
        <v>223</v>
      </c>
      <c r="AH1" t="s">
        <v>224</v>
      </c>
      <c r="AI1" t="s">
        <v>225</v>
      </c>
      <c r="AJ1" t="s">
        <v>226</v>
      </c>
      <c r="AK1" t="s">
        <v>227</v>
      </c>
      <c r="AL1" t="s">
        <v>228</v>
      </c>
      <c r="AM1" t="s">
        <v>229</v>
      </c>
      <c r="AN1" t="s">
        <v>230</v>
      </c>
    </row>
    <row r="2" spans="1:40">
      <c r="A2" t="s">
        <v>12</v>
      </c>
      <c r="B2">
        <v>591.29520000000002</v>
      </c>
      <c r="I2">
        <f>Fund!D399</f>
        <v>76.3887</v>
      </c>
      <c r="J2" s="20">
        <f>I2*B2</f>
        <v>45168.271644240005</v>
      </c>
      <c r="K2" s="46">
        <f>Fund!D503</f>
        <v>1.9738326340506821E-2</v>
      </c>
      <c r="L2" s="15">
        <f>J2/$J$38</f>
        <v>1.1733353612949497E-2</v>
      </c>
      <c r="M2" s="13">
        <f>(J9+J11+J16+J32+J33+J20)/J38</f>
        <v>0.20722428856825154</v>
      </c>
      <c r="N2" s="20">
        <v>2733007.0587075995</v>
      </c>
      <c r="O2" s="20">
        <v>2785909.6994353686</v>
      </c>
      <c r="P2" s="25">
        <v>3513531.1887753801</v>
      </c>
      <c r="Q2" s="25">
        <v>3616710.5597683419</v>
      </c>
      <c r="R2" s="25">
        <v>3663144.7689196095</v>
      </c>
      <c r="S2" s="25">
        <v>3710714.5212689512</v>
      </c>
      <c r="T2" s="25">
        <v>3796291.65339788</v>
      </c>
      <c r="U2" s="25">
        <v>3683621.3636633698</v>
      </c>
      <c r="V2" s="25">
        <v>3738622.59063438</v>
      </c>
      <c r="W2" s="20">
        <v>3759449.0398879498</v>
      </c>
      <c r="X2" s="25">
        <v>3816846.0438838108</v>
      </c>
      <c r="Y2" s="25">
        <v>3740689.9633769304</v>
      </c>
      <c r="Z2" s="25">
        <v>3710691.6443331894</v>
      </c>
      <c r="AA2" s="25">
        <v>3611528.5213837703</v>
      </c>
      <c r="AB2" s="25">
        <v>3534700.1023786697</v>
      </c>
      <c r="AC2" s="25">
        <v>3587694.1925378889</v>
      </c>
      <c r="AD2" s="25">
        <v>3685534.3320374396</v>
      </c>
      <c r="AE2" s="25">
        <v>3747928.2905038213</v>
      </c>
      <c r="AF2" s="25">
        <v>3785580.9457593695</v>
      </c>
      <c r="AG2" s="25">
        <v>3779569.7197923595</v>
      </c>
      <c r="AH2" s="25">
        <v>3889388.51145211</v>
      </c>
      <c r="AI2" s="25">
        <v>3857579.967390961</v>
      </c>
      <c r="AJ2" s="25">
        <v>3863825.5150379599</v>
      </c>
      <c r="AK2" s="25">
        <v>3902469.7255015001</v>
      </c>
      <c r="AL2" s="25">
        <v>3938158.0820300793</v>
      </c>
      <c r="AM2" s="25">
        <v>3789302.8844989487</v>
      </c>
      <c r="AN2" s="25">
        <v>3849561.9525512396</v>
      </c>
    </row>
    <row r="3" spans="1:40">
      <c r="A3" t="s">
        <v>158</v>
      </c>
      <c r="B3">
        <f>1095.0987+4933.3731+5959.5147+9866.7467+4933.3728</f>
        <v>26788.106</v>
      </c>
      <c r="I3">
        <f>Fund!E399</f>
        <v>13.572800000000001</v>
      </c>
      <c r="J3" s="20">
        <f>I3*B3</f>
        <v>363589.6051168</v>
      </c>
      <c r="K3" s="46">
        <f>Fund!E503</f>
        <v>-2.6516602339344121E-4</v>
      </c>
      <c r="L3" s="51">
        <f>J3/$J$38</f>
        <v>9.4449604811746551E-2</v>
      </c>
    </row>
    <row r="4" spans="1:40">
      <c r="A4" t="s">
        <v>157</v>
      </c>
      <c r="B4">
        <v>785.04259999999999</v>
      </c>
      <c r="I4">
        <f>Fund!C399</f>
        <v>20.015499999999999</v>
      </c>
      <c r="J4" s="20">
        <f>I4*B4</f>
        <v>15713.020160299999</v>
      </c>
      <c r="K4" s="46">
        <f>Fund!C503</f>
        <v>5.861788101887111E-2</v>
      </c>
      <c r="L4" s="15">
        <f>J4/$J$38</f>
        <v>4.0817683554583211E-3</v>
      </c>
    </row>
    <row r="5" spans="1:40">
      <c r="A5" t="s">
        <v>171</v>
      </c>
      <c r="C5">
        <v>275.37479999999999</v>
      </c>
      <c r="J5" s="20"/>
    </row>
    <row r="6" spans="1:40" s="23" customFormat="1">
      <c r="A6" s="23" t="s">
        <v>178</v>
      </c>
      <c r="C6" s="23">
        <v>11137.1729</v>
      </c>
      <c r="I6" s="23">
        <f>Fund!N399</f>
        <v>12.118</v>
      </c>
      <c r="J6" s="48">
        <f>I6*C6</f>
        <v>134960.2612022</v>
      </c>
      <c r="K6" s="46">
        <f>Fund!N503</f>
        <v>3.1310371826622801E-2</v>
      </c>
      <c r="L6" s="15">
        <f t="shared" ref="L6:L35" si="0">J6/$J$38</f>
        <v>3.5058602216482604E-2</v>
      </c>
    </row>
    <row r="7" spans="1:40">
      <c r="A7" t="s">
        <v>144</v>
      </c>
      <c r="C7">
        <v>21708.4915</v>
      </c>
      <c r="I7">
        <f>Fund!G399</f>
        <v>14.0867</v>
      </c>
      <c r="J7" s="20">
        <f>I7*C7</f>
        <v>305801.00721305003</v>
      </c>
      <c r="K7" s="46">
        <f>Fund!G503</f>
        <v>-3.0876130852051892E-2</v>
      </c>
      <c r="L7" s="51">
        <f t="shared" si="0"/>
        <v>7.9437871368815097E-2</v>
      </c>
    </row>
    <row r="8" spans="1:40">
      <c r="A8" t="s">
        <v>191</v>
      </c>
      <c r="C8">
        <v>1694.8661999999999</v>
      </c>
      <c r="I8">
        <f>Fund!H399</f>
        <v>14.0867</v>
      </c>
      <c r="J8" s="20">
        <f>I8*C8</f>
        <v>23875.07169954</v>
      </c>
      <c r="K8" s="46">
        <f>Fund!H503</f>
        <v>0.19200013539013513</v>
      </c>
      <c r="L8" s="19">
        <f t="shared" si="0"/>
        <v>6.2020229817881366E-3</v>
      </c>
    </row>
    <row r="9" spans="1:40">
      <c r="A9" t="s">
        <v>168</v>
      </c>
      <c r="C9">
        <f>6087.7086+2710.1492</f>
        <v>8797.8577999999998</v>
      </c>
      <c r="I9">
        <f>Fund!M399</f>
        <v>24.283999999999999</v>
      </c>
      <c r="J9" s="20">
        <f>I9*C9</f>
        <v>213647.17881519999</v>
      </c>
      <c r="K9" s="46">
        <f>Fund!M503</f>
        <v>-8.254246509097514E-2</v>
      </c>
      <c r="L9" s="52">
        <f t="shared" si="0"/>
        <v>5.5499088324480278E-2</v>
      </c>
    </row>
    <row r="10" spans="1:40" s="23" customFormat="1">
      <c r="A10" s="23" t="s">
        <v>47</v>
      </c>
      <c r="C10" s="23">
        <v>9887.1610999999994</v>
      </c>
      <c r="I10" s="23">
        <f>Fund!L399</f>
        <v>25.695399999999999</v>
      </c>
      <c r="J10" s="48">
        <f>I10*C10</f>
        <v>254054.55932893997</v>
      </c>
      <c r="K10" s="46">
        <f>Fund!L503</f>
        <v>7.8985823703305577E-2</v>
      </c>
      <c r="L10" s="52">
        <f t="shared" si="0"/>
        <v>6.5995706124581027E-2</v>
      </c>
    </row>
    <row r="11" spans="1:40">
      <c r="A11" t="s">
        <v>154</v>
      </c>
      <c r="D11">
        <v>14613.117200000001</v>
      </c>
      <c r="I11">
        <f>Fund!T399</f>
        <v>27.917999999999999</v>
      </c>
      <c r="J11" s="20">
        <f>I11*D11</f>
        <v>407969.00598960003</v>
      </c>
      <c r="K11" s="46">
        <f>Fund!T503</f>
        <v>-7.3845541401273862E-2</v>
      </c>
      <c r="L11" s="51">
        <f t="shared" si="0"/>
        <v>0.10597803360957074</v>
      </c>
      <c r="M11">
        <f>D11*0.4</f>
        <v>5845.2468800000006</v>
      </c>
      <c r="N11" s="25">
        <f>J11*0.3</f>
        <v>122390.70179688001</v>
      </c>
      <c r="O11" s="25">
        <f>J11-N11</f>
        <v>285578.30419272004</v>
      </c>
    </row>
    <row r="12" spans="1:40">
      <c r="A12" t="s">
        <v>186</v>
      </c>
      <c r="D12">
        <v>18092.877799999998</v>
      </c>
      <c r="I12">
        <f>Fund!U399</f>
        <v>34.4114</v>
      </c>
      <c r="J12" s="20">
        <f>I12*D12</f>
        <v>622601.25512691995</v>
      </c>
      <c r="K12" s="46">
        <f>Fund!U503</f>
        <v>4.5393640219642028E-3</v>
      </c>
      <c r="L12" s="51">
        <f>J12/$J$38</f>
        <v>0.16173301347035091</v>
      </c>
    </row>
    <row r="13" spans="1:40">
      <c r="A13" t="s">
        <v>166</v>
      </c>
      <c r="D13">
        <v>890.67</v>
      </c>
      <c r="I13">
        <f>Fund!S399</f>
        <v>80.832400000000007</v>
      </c>
      <c r="J13" s="20">
        <f>I13*D13</f>
        <v>71994.993708000009</v>
      </c>
      <c r="K13" s="46">
        <f>Fund!S503</f>
        <v>1.5087089198930148E-2</v>
      </c>
      <c r="L13" s="15">
        <f t="shared" si="0"/>
        <v>1.8702126266674682E-2</v>
      </c>
    </row>
    <row r="14" spans="1:40">
      <c r="A14" s="50" t="s">
        <v>190</v>
      </c>
      <c r="D14">
        <v>12106.3683</v>
      </c>
      <c r="I14">
        <f>Fund!R399</f>
        <v>11.625</v>
      </c>
      <c r="J14" s="20">
        <f>I14*D14</f>
        <v>140736.5314875</v>
      </c>
      <c r="K14" s="46">
        <f>Fund!R503</f>
        <v>1.8869908937132366E-2</v>
      </c>
      <c r="L14" s="15">
        <f t="shared" si="0"/>
        <v>3.6559102885518953E-2</v>
      </c>
    </row>
    <row r="15" spans="1:40">
      <c r="A15" t="s">
        <v>159</v>
      </c>
      <c r="E15">
        <v>800.01390000000004</v>
      </c>
      <c r="I15">
        <f>Fund!V399</f>
        <v>11.7986</v>
      </c>
      <c r="J15" s="20">
        <f>I15*E15</f>
        <v>9439.0440005400014</v>
      </c>
      <c r="K15" s="46">
        <f>Fund!V503</f>
        <v>-6.1614691449341008E-2</v>
      </c>
      <c r="L15" s="15">
        <f t="shared" si="0"/>
        <v>2.4519787230036436E-3</v>
      </c>
    </row>
    <row r="16" spans="1:40">
      <c r="A16" t="s">
        <v>156</v>
      </c>
      <c r="E16">
        <v>1688.2757999999999</v>
      </c>
      <c r="I16">
        <f>Fund!AU399</f>
        <v>21.593399999999999</v>
      </c>
      <c r="J16" s="20">
        <f>I16*E16</f>
        <v>36455.614659719999</v>
      </c>
      <c r="K16" s="46">
        <f>Fund!AU503</f>
        <v>-7.9855459062358941E-2</v>
      </c>
      <c r="L16" s="15">
        <f t="shared" si="0"/>
        <v>9.4700683114242613E-3</v>
      </c>
    </row>
    <row r="17" spans="1:12">
      <c r="A17" t="s">
        <v>107</v>
      </c>
      <c r="E17">
        <v>1991.9136000000001</v>
      </c>
      <c r="I17">
        <f>Fund!BD399</f>
        <v>19.9084</v>
      </c>
      <c r="J17" s="20">
        <f>I17*E17</f>
        <v>39655.812714240004</v>
      </c>
      <c r="K17" s="46">
        <f>Fund!BD503</f>
        <v>2.4331764040029801E-2</v>
      </c>
      <c r="L17" s="15">
        <f t="shared" si="0"/>
        <v>1.0301383171131643E-2</v>
      </c>
    </row>
    <row r="18" spans="1:12">
      <c r="A18" t="s">
        <v>183</v>
      </c>
      <c r="E18">
        <v>344.04329999999999</v>
      </c>
      <c r="I18">
        <f>Fund!W399</f>
        <v>16.2881</v>
      </c>
      <c r="J18" s="20">
        <f>I18*E18</f>
        <v>5603.81167473</v>
      </c>
      <c r="K18" s="46">
        <f>Fund!W503</f>
        <v>2.9576111553583407E-2</v>
      </c>
      <c r="L18" s="15">
        <f>J18/$J$38</f>
        <v>1.4557011275052108E-3</v>
      </c>
    </row>
    <row r="19" spans="1:12">
      <c r="A19" t="s">
        <v>192</v>
      </c>
      <c r="E19">
        <v>10499.3766</v>
      </c>
      <c r="I19">
        <f>Fund!AQ399</f>
        <v>6.7773000000000003</v>
      </c>
      <c r="J19" s="20">
        <f t="shared" ref="J19:J23" si="1">I19*E19</f>
        <v>71157.425031179999</v>
      </c>
      <c r="K19" s="46">
        <f>Fund!AQ503</f>
        <v>-6.2847423877872649E-2</v>
      </c>
      <c r="L19" s="15">
        <f t="shared" ref="L19:L25" si="2">J19/$J$38</f>
        <v>1.8484551205630417E-2</v>
      </c>
    </row>
    <row r="20" spans="1:12">
      <c r="A20" t="s">
        <v>193</v>
      </c>
      <c r="E20">
        <v>3281.2345999999998</v>
      </c>
      <c r="I20">
        <f>Fund!AW399</f>
        <v>16.741499999999998</v>
      </c>
      <c r="J20" s="20">
        <f t="shared" si="1"/>
        <v>54932.789055899993</v>
      </c>
      <c r="K20" s="46">
        <f>Fund!AW503</f>
        <v>-4.7923704234483271E-2</v>
      </c>
      <c r="L20" s="15">
        <f t="shared" si="2"/>
        <v>1.4269880504064653E-2</v>
      </c>
    </row>
    <row r="21" spans="1:12">
      <c r="A21" t="s">
        <v>196</v>
      </c>
      <c r="E21">
        <v>4236.6777000000002</v>
      </c>
      <c r="I21">
        <f>Fund!AV399</f>
        <v>24.048100000000002</v>
      </c>
      <c r="J21" s="20">
        <f t="shared" si="1"/>
        <v>101884.04899737002</v>
      </c>
      <c r="K21" s="46">
        <f>Fund!AV503</f>
        <v>1.4118659149085168E-2</v>
      </c>
      <c r="L21" s="15">
        <f t="shared" si="2"/>
        <v>2.6466400658871819E-2</v>
      </c>
    </row>
    <row r="22" spans="1:12">
      <c r="A22" t="s">
        <v>197</v>
      </c>
      <c r="E22">
        <v>6363.59</v>
      </c>
      <c r="I22">
        <f>Fund!AR399</f>
        <v>19.482199999999999</v>
      </c>
      <c r="J22" s="20">
        <f t="shared" si="1"/>
        <v>123976.733098</v>
      </c>
      <c r="K22" s="46">
        <f>Fund!AR503</f>
        <v>5.3376588267099095E-2</v>
      </c>
      <c r="L22" s="15">
        <f t="shared" si="2"/>
        <v>3.2205413142094332E-2</v>
      </c>
    </row>
    <row r="23" spans="1:12">
      <c r="A23" t="s">
        <v>200</v>
      </c>
      <c r="E23">
        <f>4876.7641+4897.0157</f>
        <v>9773.7798000000003</v>
      </c>
      <c r="I23">
        <f>Fund!AT399</f>
        <v>13.4566</v>
      </c>
      <c r="J23" s="20">
        <f t="shared" si="1"/>
        <v>131521.84525668001</v>
      </c>
      <c r="K23" s="46">
        <f>Fund!AT503</f>
        <v>3.9400610203529876E-2</v>
      </c>
      <c r="L23" s="15">
        <f t="shared" si="2"/>
        <v>3.4165405539068119E-2</v>
      </c>
    </row>
    <row r="24" spans="1:12">
      <c r="A24" t="s">
        <v>199</v>
      </c>
      <c r="G24">
        <v>2272.9940999999999</v>
      </c>
      <c r="I24">
        <f>Fund!AX399</f>
        <v>37.480400000000003</v>
      </c>
      <c r="J24" s="20">
        <f>I24*G24</f>
        <v>85192.728065639996</v>
      </c>
      <c r="K24" s="46">
        <f>Fund!AX503</f>
        <v>0.12711143187935106</v>
      </c>
      <c r="L24" s="15">
        <f t="shared" si="2"/>
        <v>2.2130499292050566E-2</v>
      </c>
    </row>
    <row r="25" spans="1:12">
      <c r="A25" t="s">
        <v>218</v>
      </c>
      <c r="G25">
        <v>941.36249999999995</v>
      </c>
      <c r="I25">
        <f>Fund!BC399</f>
        <v>10.9107</v>
      </c>
      <c r="J25" s="20">
        <f>I25*G25</f>
        <v>10270.923828749999</v>
      </c>
      <c r="K25" s="46">
        <f>Fund!BC503</f>
        <v>-9.2350441320692353E-3</v>
      </c>
      <c r="L25" s="15">
        <f t="shared" si="2"/>
        <v>2.6680759928913726E-3</v>
      </c>
    </row>
    <row r="26" spans="1:12" s="5" customFormat="1">
      <c r="A26" s="5" t="s">
        <v>179</v>
      </c>
      <c r="F26" s="5">
        <v>5351.3141999999998</v>
      </c>
      <c r="I26" s="5">
        <f>Fund!AG399</f>
        <v>9.9677000000000007</v>
      </c>
      <c r="J26" s="49">
        <f t="shared" ref="J26:J32" si="3">I26*F26</f>
        <v>53340.294551340005</v>
      </c>
      <c r="K26" s="46">
        <f>Fund!AG503</f>
        <v>-1.3625479646938278E-3</v>
      </c>
      <c r="L26" s="15">
        <f t="shared" si="0"/>
        <v>1.3856198499673325E-2</v>
      </c>
    </row>
    <row r="27" spans="1:12" s="5" customFormat="1">
      <c r="A27" s="5" t="s">
        <v>173</v>
      </c>
      <c r="F27" s="5">
        <v>5588.8369000000002</v>
      </c>
      <c r="I27" s="5">
        <f>Fund!AD399</f>
        <v>10.8658</v>
      </c>
      <c r="J27" s="49">
        <f t="shared" si="3"/>
        <v>60727.183988020006</v>
      </c>
      <c r="K27" s="46">
        <f>Fund!AD503</f>
        <v>6.2088245068715353E-2</v>
      </c>
      <c r="L27" s="15">
        <f t="shared" si="0"/>
        <v>1.5775089409270054E-2</v>
      </c>
    </row>
    <row r="28" spans="1:12">
      <c r="A28" t="s">
        <v>174</v>
      </c>
      <c r="F28">
        <v>7505.8617000000004</v>
      </c>
      <c r="I28">
        <f>Fund!AO399</f>
        <v>5.4935999999999998</v>
      </c>
      <c r="J28" s="20">
        <f t="shared" si="3"/>
        <v>41234.201835120002</v>
      </c>
      <c r="K28" s="46">
        <f>Fund!AO503</f>
        <v>-2.830055186076131E-2</v>
      </c>
      <c r="L28" s="15">
        <f t="shared" si="0"/>
        <v>1.0711401022600157E-2</v>
      </c>
    </row>
    <row r="29" spans="1:12">
      <c r="A29" t="s">
        <v>117</v>
      </c>
      <c r="F29">
        <v>257.6078</v>
      </c>
      <c r="I29">
        <f>Fund!AA399</f>
        <v>31.813500000000001</v>
      </c>
      <c r="J29" s="20">
        <f t="shared" si="3"/>
        <v>8195.4057453000005</v>
      </c>
      <c r="K29" s="46">
        <f>Fund!AA503</f>
        <v>1.7751914673081966E-2</v>
      </c>
      <c r="L29" s="15">
        <f t="shared" si="0"/>
        <v>2.1289190423000254E-3</v>
      </c>
    </row>
    <row r="30" spans="1:12">
      <c r="A30" t="s">
        <v>175</v>
      </c>
      <c r="F30">
        <v>5626.0101999999997</v>
      </c>
      <c r="I30">
        <f>Fund!AK399</f>
        <v>29.715199999999999</v>
      </c>
      <c r="J30" s="20">
        <f t="shared" si="3"/>
        <v>167178.01829503998</v>
      </c>
      <c r="K30" s="46">
        <f>Fund!AK503</f>
        <v>1.4084122515143793E-2</v>
      </c>
      <c r="L30" s="15">
        <f t="shared" si="0"/>
        <v>4.3427803047628638E-2</v>
      </c>
    </row>
    <row r="31" spans="1:12">
      <c r="A31" s="50" t="s">
        <v>189</v>
      </c>
      <c r="F31">
        <v>4347.2685000000001</v>
      </c>
      <c r="I31">
        <f>Fund!AN399</f>
        <v>11.527799999999999</v>
      </c>
      <c r="J31" s="20">
        <f t="shared" si="3"/>
        <v>50114.4418143</v>
      </c>
      <c r="K31" s="46">
        <f>Fund!AN503</f>
        <v>2.0339883165161898E-2</v>
      </c>
      <c r="L31" s="15">
        <f t="shared" si="0"/>
        <v>1.3018219327808818E-2</v>
      </c>
    </row>
    <row r="32" spans="1:12">
      <c r="A32" t="s">
        <v>176</v>
      </c>
      <c r="F32">
        <v>2842.6581000000001</v>
      </c>
      <c r="I32">
        <f>Fund!AJ399</f>
        <v>28.380099999999999</v>
      </c>
      <c r="J32" s="20">
        <f t="shared" si="3"/>
        <v>80674.921143810003</v>
      </c>
      <c r="K32" s="46">
        <f>Fund!AJ503</f>
        <v>-6.1262494955709478E-2</v>
      </c>
      <c r="L32" s="15">
        <f t="shared" si="0"/>
        <v>2.0956909419354561E-2</v>
      </c>
    </row>
    <row r="33" spans="1:12">
      <c r="A33" t="s">
        <v>167</v>
      </c>
      <c r="G33">
        <v>211.67509999999999</v>
      </c>
      <c r="I33">
        <f>Fund!AZ399</f>
        <v>19.101099999999999</v>
      </c>
      <c r="J33" s="20">
        <f>I33*G33</f>
        <v>4043.2272526099996</v>
      </c>
      <c r="K33" s="46">
        <f>Fund!AZ503</f>
        <v>-8.1147777563979284E-2</v>
      </c>
      <c r="L33" s="15">
        <f t="shared" si="0"/>
        <v>1.0503083993570778E-3</v>
      </c>
    </row>
    <row r="34" spans="1:12">
      <c r="A34" t="s">
        <v>106</v>
      </c>
      <c r="G34">
        <v>4995.5182000000004</v>
      </c>
      <c r="I34">
        <f>Fund!BB399</f>
        <v>22.528300000000002</v>
      </c>
      <c r="J34" s="20">
        <f>I34*G34</f>
        <v>112540.53266506002</v>
      </c>
      <c r="K34" s="46">
        <f>Fund!BB503</f>
        <v>4.8305084745762636E-3</v>
      </c>
      <c r="L34" s="15">
        <f t="shared" si="0"/>
        <v>2.9234633460172129E-2</v>
      </c>
    </row>
    <row r="35" spans="1:12">
      <c r="A35" t="s">
        <v>105</v>
      </c>
      <c r="G35">
        <v>45.863999999999997</v>
      </c>
      <c r="I35">
        <f>Fund!BA399</f>
        <v>28.610399999999998</v>
      </c>
      <c r="J35" s="20">
        <f>I35*G35</f>
        <v>1312.1873855999997</v>
      </c>
      <c r="K35" s="46">
        <f>Fund!BA503</f>
        <v>-6.3339128043450599E-2</v>
      </c>
      <c r="L35" s="15">
        <f t="shared" si="0"/>
        <v>3.4086667568250647E-4</v>
      </c>
    </row>
    <row r="38" spans="1:12">
      <c r="J38" s="25">
        <f>SUM(J2:J35)</f>
        <v>3849561.9525512396</v>
      </c>
    </row>
  </sheetData>
  <conditionalFormatting sqref="K2:K35">
    <cfRule type="cellIs" dxfId="2" priority="1" operator="lessThan">
      <formula>0.0135</formula>
    </cfRule>
    <cfRule type="cellIs" dxfId="1" priority="2" operator="lessThan">
      <formula>-5</formula>
    </cfRule>
  </conditionalFormatting>
  <conditionalFormatting sqref="L2:L35">
    <cfRule type="cellIs" dxfId="0" priority="9" operator="greaterThan">
      <formula>0.05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BTC</vt:lpstr>
      <vt:lpstr>Zipmex</vt:lpstr>
      <vt:lpstr>Binance</vt:lpstr>
      <vt:lpstr>Fund</vt:lpstr>
      <vt:lpstr>Tracking</vt:lpstr>
      <vt:lpstr>Tool</vt:lpstr>
      <vt:lpstr>Snapshot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hpnoks</cp:lastModifiedBy>
  <dcterms:created xsi:type="dcterms:W3CDTF">2017-03-11T08:37:49Z</dcterms:created>
  <dcterms:modified xsi:type="dcterms:W3CDTF">2026-06-20T05:02:35Z</dcterms:modified>
</cp:coreProperties>
</file>